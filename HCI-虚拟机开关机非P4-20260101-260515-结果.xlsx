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3"/>
  <sheetViews>
    <sheetView workbookViewId="0">
      <selection activeCell="A1" sqref="A1"/>
    </sheetView>
  </sheetViews>
  <sheetFormatPr baseColWidth="8" defaultRowHeight="15"/>
  <sheetData>
    <row r="1">
      <c r="A1" t="inlineStr">
        <is>
          <t>问题编号</t>
        </is>
      </c>
      <c r="B1" t="inlineStr">
        <is>
          <t>产品线</t>
        </is>
      </c>
      <c r="C1" t="inlineStr">
        <is>
          <t>版本</t>
        </is>
      </c>
      <c r="D1" t="inlineStr">
        <is>
          <t>问题描述</t>
        </is>
      </c>
      <c r="E1" t="inlineStr">
        <is>
          <t>五级模块标签</t>
        </is>
      </c>
      <c r="F1" t="inlineStr">
        <is>
          <t>六级模块标签</t>
        </is>
      </c>
      <c r="G1" t="inlineStr">
        <is>
          <t>AI回复内容</t>
        </is>
      </c>
    </row>
    <row r="2">
      <c r="A2" t="inlineStr">
        <is>
          <t>Q2026051402151</t>
        </is>
      </c>
      <c r="B2" t="inlineStr">
        <is>
          <t>HCI</t>
        </is>
      </c>
      <c r="C2" t="inlineStr">
        <is>
          <t>HCI6.10.0_R1</t>
        </is>
      </c>
      <c r="D2" t="inlineStr">
        <is>
          <t>1、有3个关机任务残留，现在开机开不了</t>
        </is>
      </c>
      <c r="E2" t="inlineStr">
        <is>
          <t>虚拟机</t>
        </is>
      </c>
      <c r="F2" t="inlineStr">
        <is>
          <t>虚拟机开关机</t>
        </is>
      </c>
      <c r="G2" t="inlineStr">
        <is>
          <t>根据 [用户描述中明确指出“开机开不了”且存在“关机任务残留”的前置异常]，您的问题可能属于以下故障之一，请确认：
① 虚拟机-003 虚拟机开机失败
   判断依据：用户直接描述“现在开机开不了”，这是当前正在发生的故障现象，任务残留往往是导致开机失败的具体原因（状态锁死），概率估计 ~60%
② 虚拟机-004 虚拟机关机失败
   判断依据：用户描述“有3个关机任务残留”，表明之前的关机流程未正常结束（可能卡死或报错残留），导致虚拟机状态异常从而引发后续开机问题，概率估计 ~35%
③ 以上都不是（请补充症状描述）
请回复 ① ② 或 ③ 完成确认。</t>
        </is>
      </c>
    </row>
    <row r="3">
      <c r="A3" t="inlineStr">
        <is>
          <t>Q2026051401551</t>
        </is>
      </c>
      <c r="B3" t="inlineStr">
        <is>
          <t>HCI</t>
        </is>
      </c>
      <c r="C3" t="inlineStr">
        <is>
          <t>6.11.1</t>
        </is>
      </c>
      <c r="D3" t="inlineStr">
        <is>
          <t>HCI有个虚拟机启动失败</t>
        </is>
      </c>
      <c r="E3" t="inlineStr">
        <is>
          <t>虚拟机</t>
        </is>
      </c>
      <c r="F3" t="inlineStr">
        <is>
          <t>虚拟机开关机</t>
        </is>
      </c>
      <c r="G3" t="inlineStr">
        <is>
          <t>根据用户描述的关键词“虚拟机启动失败”，直接命中虚拟机域核心故障分类，判断依据明确。
您的问题可能属于以下故障之一，请确认：
① 虚拟机-003 虚拟机开机失败
   判断依据：用户描述“虚拟机启动失败”与该分类名称定义完全一致，概率估计 ~99%
③ 以上都不是（请补充症状描述）
请回复 ① 或 ③ 完成确认。</t>
        </is>
      </c>
    </row>
    <row r="4">
      <c r="A4" t="inlineStr">
        <is>
          <t>Q2026051400797</t>
        </is>
      </c>
      <c r="B4" t="inlineStr">
        <is>
          <t>HCI</t>
        </is>
      </c>
      <c r="C4" t="inlineStr"/>
      <c r="D4" t="inlineStr">
        <is>
          <t>虚拟机经常重启，然后内部看服务器log日志没有问题，然后超融合日志也没有问题</t>
        </is>
      </c>
      <c r="E4" t="inlineStr">
        <is>
          <t>虚拟机</t>
        </is>
      </c>
      <c r="F4" t="inlineStr">
        <is>
          <t>虚拟机开关机</t>
        </is>
      </c>
      <c r="G4" t="inlineStr">
        <is>
          <t>根据您提供的“虚拟机经常重启”且“平台和内部日志均无明显报错”的描述，这通常指向瞬态的系统崩溃或保护机制触发。建议优先排查虚拟机内部是否存在系统蓝屏（可能未生成Dump文件）或平台侧的高可用/看门狗机制介入。
根据 [故障现象：频繁重启 + 日志无明显异常]，您的问题可能属于以下故障之一，请确认：
① 虚拟机-042 虚拟机内部蓝屏
   判断依据：虚拟机频繁重启但平台日志无硬件错误，极大概率是Guest OS内部遭遇系统崩溃（Windows蓝屏或Linux Kernel Panic）。部分崩溃速度过快可能导致内部日志未及时落盘，平台侧仅能观测到重启动作。概率估计 ~60%
② 虚拟机-033 虚拟机异常HA
   判断依据：如果虚拟机配置了HA策略，宿主机资源瞬时抖动或心跳丢失可能导致平台触发HA机制（即“异常重启恢复”），工程师可能误认为普通重启。需结合平台任务日志确认是否有HA记录。概率估计 ~30%
③ 以上都不是（请补充症状描述）
请回复 ① ② 或 ③ 完成确认。</t>
        </is>
      </c>
    </row>
    <row r="5">
      <c r="A5" t="inlineStr">
        <is>
          <t>Q2026051400790</t>
        </is>
      </c>
      <c r="B5" t="inlineStr">
        <is>
          <t>HCI</t>
        </is>
      </c>
      <c r="C5" t="inlineStr">
        <is>
          <t>HCI6.10.0_R2</t>
        </is>
      </c>
      <c r="D5" t="inlineStr">
        <is>
          <t>两个虚拟机异常重启，需要查原因</t>
        </is>
      </c>
      <c r="E5" t="inlineStr">
        <is>
          <t>虚拟机</t>
        </is>
      </c>
      <c r="F5" t="inlineStr">
        <is>
          <t>虚拟机开关机</t>
        </is>
      </c>
      <c r="G5" t="inlineStr">
        <is>
          <t>根据您提供的“两个虚拟机异常重启”现象，结合 HCI 平台特性，多台虚拟机同时异常通常与宿主机状态或 HA 机制相关。
根据 [多台虚拟机同时异常重启] 的现象，您的问题可能属于以下故障之一，请确认：
① 虚拟机-033 虚拟机异常HA
   判断依据：多台虚拟机同时出现异常重启，极大概率是触发了平台的 HA（高可用）机制，需确认是否有宿主机故障或网络脑裂导致的迁移重启，概率估计 ~60%
② 平台-005 主机离线或异常重启
   判断依据：若这两台虚拟机位于同一台物理主机，该物理主机可能发生了异常重启或掉电，导致上层虚拟机跟随重启，概率估计 ~35%
③ 以上都不是（请补充症状描述）
请回复 ① ② 或 ③ 完成确认。</t>
        </is>
      </c>
    </row>
    <row r="6">
      <c r="A6" t="inlineStr">
        <is>
          <t>Q2026051400417</t>
        </is>
      </c>
      <c r="B6" t="inlineStr">
        <is>
          <t>HCI</t>
        </is>
      </c>
      <c r="C6" t="inlineStr"/>
      <c r="D6" t="inlineStr">
        <is>
          <t>【服务升级】：服务商通过数字化服务平台发起服务升级，请尽快联系服务商处理！&lt;br&gt;【工单描述】：虚拟机异常关机</t>
        </is>
      </c>
      <c r="E6" t="inlineStr">
        <is>
          <t>虚拟机</t>
        </is>
      </c>
      <c r="F6" t="inlineStr">
        <is>
          <t>虚拟机开关机</t>
        </is>
      </c>
      <c r="G6" t="inlineStr">
        <is>
          <t>根据您提供的工单描述“虚拟机异常关机”，这是对虚拟机运行状态的直接描述，尚未提供具体的操作报错或日志信息。这通常指虚拟机非预期地停止运行。
由于缺乏具体的错误代码或上下文（如是主机故障导致、内部蓝屏导致还是操作失败），该问题可能涉及虚拟机本身的稳定性或平台的高可用机制。结合故障分类基准，请确认以下分类：
① 虚拟机-L1 虚拟机
   判断依据：客户直接描述“虚拟机异常关机”，这是一个状态类描述，未明确指向特定的操作失败（如开关机失败）或具体的内部故障（如蓝屏），故归入虚拟机通用分类进行后续排查。
② 虚拟机-033 虚拟机异常HA
   判断依据：在 HCI 环境中，虚拟机“异常关机”常由主机故障或 HA（高可用）机制触发，导致虚拟机在其他主机重新拉起或处于关闭状态，需确认是否存在 HA 事件记录。
③ 以上都不是（请补充症状描述）
请回复 ① ② 或 ③ 完成确认。</t>
        </is>
      </c>
    </row>
    <row r="7">
      <c r="A7" t="inlineStr">
        <is>
          <t>Q2026051400189</t>
        </is>
      </c>
      <c r="B7" t="inlineStr">
        <is>
          <t>HCI</t>
        </is>
      </c>
      <c r="C7" t="inlineStr">
        <is>
          <t>6.11.1</t>
        </is>
      </c>
      <c r="D7" t="inlineStr">
        <is>
          <t>有虚拟机内部异常重启，windowsserver虚拟机，需要配合查原因</t>
        </is>
      </c>
      <c r="E7" t="inlineStr">
        <is>
          <t>虚拟机</t>
        </is>
      </c>
      <c r="F7" t="inlineStr">
        <is>
          <t>虚拟机开关机</t>
        </is>
      </c>
      <c r="G7" t="inlineStr">
        <is>
          <t>根据您的描述“Windows Server 虚拟机内部异常重启”，这通常是由操作系统层面的崩溃或平台层面的高可用机制触发。综合分析，您的问题可能属于以下故障之一，请确认：
① 虚拟机-042 虚拟机内部蓝屏
   判断依据：Windows 虚拟机“异常重启”极大概率是由于系统内部发生蓝屏（BSOD），且系统默认配置为“系统失败自动重启”，导致用户只观察到重启而未看到蓝屏界面，概率估计 ~70%
② 虚拟机-033 虚拟机异常HA
   判断依据：若虚拟机所在宿主机出现故障或虚拟机进程卡死，平台 HA 机制会强制重启虚拟机以恢复业务，表现为虚拟机“异常重启”，概率估计 ~25%
③ 以上都不是（请补充症状描述）
请回复 ① ② 或 ③ 完成确认。</t>
        </is>
      </c>
    </row>
    <row r="8">
      <c r="A8" t="inlineStr">
        <is>
          <t>Q2026051301695</t>
        </is>
      </c>
      <c r="B8" t="inlineStr">
        <is>
          <t>HCI</t>
        </is>
      </c>
      <c r="C8" t="inlineStr">
        <is>
          <t>6.11.1_R1</t>
        </is>
      </c>
      <c r="D8" t="inlineStr">
        <is>
          <t>scp  纳管了HCI 跨集群迁移了，添加了CPU内存重启。起不来。是邮件服务器。影响部分业务了。需要处理</t>
        </is>
      </c>
      <c r="E8" t="inlineStr">
        <is>
          <t>虚拟机</t>
        </is>
      </c>
      <c r="F8" t="inlineStr">
        <is>
          <t>虚拟机开关机</t>
        </is>
      </c>
      <c r="G8" t="inlineStr">
        <is>
          <t>根据您提供的故障现象“跨集群迁移后，添加CPU内存重启虚拟机无法启动（起不来）”，核心故障表现为虚拟机无法开机。
结合故障上下文，您的问题可能属于以下故障分类，请确认：
① **虚拟机-003 虚拟机开机失败**
   判断依据：用户明确描述“起不来”，且操作链路（迁移-&gt;修改配置-&gt;重启）最终导致虚拟机无法处于运行状态，符合开机失败的特征，概率估计 ~90%
② **虚拟机-020 虚拟机跨集群冷迁移失败**
   判断依据：故障发生在“跨集群迁移”操作后，若因迁移导致配置丢失或文件损坏从而无法启动，可能归类于此，概率估计 ~10%
③ 以上都不是（请补充症状描述）
请回复 ① ② 或 ③ 完成确认。</t>
        </is>
      </c>
    </row>
    <row r="9">
      <c r="A9" t="inlineStr">
        <is>
          <t>Q2026051301481</t>
        </is>
      </c>
      <c r="B9" t="inlineStr">
        <is>
          <t>HCI</t>
        </is>
      </c>
      <c r="C9" t="inlineStr"/>
      <c r="D9" t="inlineStr">
        <is>
          <t>window server2012重启需要查原因</t>
        </is>
      </c>
      <c r="E9" t="inlineStr">
        <is>
          <t>虚拟机</t>
        </is>
      </c>
      <c r="F9" t="inlineStr">
        <is>
          <t>虚拟机开关机</t>
        </is>
      </c>
      <c r="G9" t="inlineStr">
        <is>
          <t>根据客户描述“window server2012重启需要查原因”，这是典型的虚拟机非预期重启排查场景。常见原因包括平台侧高可用（HA）切换或虚拟机内部系统崩溃，您的问题可能属于以下故障之一，请确认：
① 虚拟机-033 虚拟机异常HA
   判断依据：虚拟机发生非预期重启，常见于宿主机故障或资源抢占触发的 HA 切换，导致虚拟机在其他节点重新拉起。概率估计 ~50%
② 虚拟机-042 虚拟机内部蓝屏
   判断依据：Windows 虚拟机自行重启，常见于系统内部蓝屏（BSOD）或内核崩溃后的自动重启行为。概率估计 ~40%
③ 以上都不是（请补充症状描述）
请回复 ① ② 或 ③ 完成确认。</t>
        </is>
      </c>
    </row>
    <row r="10">
      <c r="A10" t="inlineStr">
        <is>
          <t>Q2026051301420</t>
        </is>
      </c>
      <c r="B10" t="inlineStr">
        <is>
          <t>HCI</t>
        </is>
      </c>
      <c r="C10" t="inlineStr">
        <is>
          <t>HCI6.10.0_R2</t>
        </is>
      </c>
      <c r="D10" t="inlineStr">
        <is>
          <t>HCI 虚拟机，异常重启，需要协助具体看下原因</t>
        </is>
      </c>
      <c r="E10" t="inlineStr">
        <is>
          <t>虚拟机</t>
        </is>
      </c>
      <c r="F10" t="inlineStr">
        <is>
          <t>虚拟机开关机</t>
        </is>
      </c>
      <c r="G10" t="inlineStr">
        <is>
          <t>根据客户描述“虚拟机异常重启”，这通常涉及虚拟机高可用（HA）机制触发或内部系统崩溃。结合分类基准，最可能的故障分类如下：
① 虚拟机-033 虚拟机异常HA
   判断依据：客户描述“异常重启”，在 HCI 平台中，虚拟机非人工干预的重启通常由 HA 机制（宿主机故障、心跳丢失、看门狗超时）触发，属于“异常 HA”的表现，概率估计 ~70%
② 虚拟机-L1 虚拟机
   判断依据：若异常重启非平台 HA 触发（如 Guest OS 内部崩溃、蓝屏后自动重启），则归类为通用虚拟机问题，需进一步进入虚拟机域排查，概率估计 ~25%
③ 以上都不是（请补充症状描述）
请回复 ① ② 或 ③ 完成确认。</t>
        </is>
      </c>
    </row>
    <row r="11">
      <c r="A11" t="inlineStr">
        <is>
          <t>Q2026051301161</t>
        </is>
      </c>
      <c r="B11" t="inlineStr">
        <is>
          <t>HCI</t>
        </is>
      </c>
      <c r="C11" t="inlineStr">
        <is>
          <t>6.11.1_R1</t>
        </is>
      </c>
      <c r="D11" t="inlineStr">
        <is>
          <t>物理机迁移到HCI开机进不去系统，需要协助处理</t>
        </is>
      </c>
      <c r="E11" t="inlineStr">
        <is>
          <t>虚拟机</t>
        </is>
      </c>
      <c r="F11" t="inlineStr">
        <is>
          <t>虚拟机开关机</t>
        </is>
      </c>
      <c r="G11" t="inlineStr">
        <is>
          <t>根据您提供的信息“物理机迁移到HCI开机进不去系统”，这通常指向迁移后的兼容性或引导问题。您的问题可能属于以下故障之一，请确认：
① 虚拟机-042 虚拟机内部蓝屏
   判断依据：物理机迁移（P2V）后，源操作系统可能因缺少虚拟化驱动（如 VirtIO）或磁盘控制器类型不匹配，导致开机过程中出现蓝屏（BSOD），概率估计 ~55%
② 虚拟机-041 虚拟机内部黑屏
   判断依据：迁移后可能因引导模式设置错误（如 Legacy/UEFI 不匹配）或启动项丢失，导致虚拟机开机后无显示输出或黑屏光标闪烁，概率估计 ~40%
③ 以上都不是（请补充症状描述）
请回复 ① ② 或 ③ 完成确认。</t>
        </is>
      </c>
    </row>
    <row r="12">
      <c r="A12" t="inlineStr">
        <is>
          <t>Q2026051301159</t>
        </is>
      </c>
      <c r="B12" t="inlineStr">
        <is>
          <t>HCI</t>
        </is>
      </c>
      <c r="C12" t="inlineStr">
        <is>
          <t>6.8.0</t>
        </is>
      </c>
      <c r="D12" t="inlineStr">
        <is>
          <t>测试设备起不来，需要协助 客户着急拷贝业务</t>
        </is>
      </c>
      <c r="E12" t="inlineStr">
        <is>
          <t>虚拟机</t>
        </is>
      </c>
      <c r="F12" t="inlineStr">
        <is>
          <t>虚拟机开关机</t>
        </is>
      </c>
      <c r="G12" t="inlineStr">
        <is>
          <t>根据用户描述“测试设备起不来”，结合HCI场景下“设备”通常指代虚拟机，且伴随业务数据拷贝需求，初步判断为虚拟机生命周期异常。
根据 [“设备起不来”通常对应虚拟机开机状态异常]，您的问题可能属于以下故障之一，请确认：
① 虚拟机-003 虚拟机开机失败
   判断依据：用户描述“设备起不来”，在HCI平台中通常指虚拟机无法正常启动（开机任务失败或卡死），导致业务无法访问，符合“虚拟机开机失败”特征。概率估计 ~80%
② 虚拟机-039 虚拟机卡死无响应
   判断依据：若虚拟机处于“运行中”状态但无法访问控制台或网络，用户也会描述为“起不来”，此时属于虚拟机进程卡死或内部死机。概率估计 ~15%
③ 以上都不是（请补充症状描述）
请回复 ① ② 或 ③ 完成确认。</t>
        </is>
      </c>
    </row>
    <row r="13">
      <c r="A13" t="inlineStr">
        <is>
          <t>Q2026051300316</t>
        </is>
      </c>
      <c r="B13" t="inlineStr">
        <is>
          <t>HCI</t>
        </is>
      </c>
      <c r="C13" t="inlineStr">
        <is>
          <t>6.9.1</t>
        </is>
      </c>
      <c r="D13" t="inlineStr">
        <is>
          <t>【服务升级】：服务商通过数字化服务平台发起服务升级，请尽快联系服务商处理！&lt;br&gt;【工单描述】：客户反馈机房断电，HCI里面有台虚拟机，无法进入，需要协助看下</t>
        </is>
      </c>
      <c r="E13" t="inlineStr">
        <is>
          <t>虚拟机</t>
        </is>
      </c>
      <c r="F13" t="inlineStr">
        <is>
          <t>虚拟机开关机</t>
        </is>
      </c>
      <c r="G13" t="inlineStr">
        <is>
          <t>根据客户描述"机房断电后虚拟机无法进入"，断电可能导致虚拟机状态异常或存储数据不一致，您的问题可能属于以下故障之一，请确认：
① 虚拟机-003 虚拟机开机失败
   判断依据：机房断电后虚拟机无法进入，常见为断电导致虚拟机处于关机状态，手动或自动开机时失败，概率估计 ~60%
② 虚拟机-039 虚拟机卡死无响应
   判断依据：断电可能导致虚拟机进程异常或状态文件损坏，虚拟机处于卡死/挂起状态无法操作，概率估计 ~30%
③ 以上都不是（请补充症状描述）
请回复 ① ② 或 ③ 完成确认。</t>
        </is>
      </c>
    </row>
    <row r="14">
      <c r="A14" t="inlineStr">
        <is>
          <t>Q2026051202099</t>
        </is>
      </c>
      <c r="B14" t="inlineStr">
        <is>
          <t>HCI</t>
        </is>
      </c>
      <c r="C14" t="inlineStr">
        <is>
          <t>6.11.1_R1</t>
        </is>
      </c>
      <c r="D14" t="inlineStr">
        <is>
          <t xml:space="preserve">财务虚拟机开机异常 卡死 </t>
        </is>
      </c>
      <c r="E14" t="inlineStr">
        <is>
          <t>虚拟机</t>
        </is>
      </c>
      <c r="F14" t="inlineStr">
        <is>
          <t>虚拟机开关机</t>
        </is>
      </c>
      <c r="G14" t="inlineStr">
        <is>
          <t>根据您提供的“财务虚拟机开机异常”及“卡死”现象，问题可能属于以下故障分类，请确认：
① 虚拟机-003 虚拟机开机失败
   判断依据：客户描述“开机异常”，通常指开机任务未完成、进度条卡住或报错，导致虚拟机无法进入运行状态，概率估计 ~60%
② 虚拟机-039 虚拟机卡死无响应
   判断依据：客户描述“卡死”，可能指虚拟机在开机过程中假死，或者开机后处于无响应状态（控制台无法操作），概率估计 ~35%
③ 以上都不是（请补充症状描述）
请回复 ① ② 或 ③ 完成确认。</t>
        </is>
      </c>
    </row>
    <row r="15">
      <c r="A15" t="inlineStr">
        <is>
          <t>Q2026051202060</t>
        </is>
      </c>
      <c r="B15" t="inlineStr">
        <is>
          <t>HCI</t>
        </is>
      </c>
      <c r="C15" t="inlineStr">
        <is>
          <t>HCI6.10.0_R1</t>
        </is>
      </c>
      <c r="D15" t="inlineStr">
        <is>
          <t>虚拟机内重启查原因1</t>
        </is>
      </c>
      <c r="E15" t="inlineStr">
        <is>
          <t>虚拟机</t>
        </is>
      </c>
      <c r="F15" t="inlineStr">
        <is>
          <t>虚拟机开关机</t>
        </is>
      </c>
      <c r="G15" t="inlineStr">
        <is>
          <t>根据客户描述“虚拟机内重启查原因”，该描述指代虚拟机发生了非预期的重启行为，或者重启操作遇到了问题。由于信息量较少，存在两种主要可能性，请确认：
① 虚拟机-033 虚拟机异常HA
   判断依据：客户提及“查原因”，通常指虚拟机发生了非人为预期的自动重启。在 HCI 平台中，此类现象多由 HA 机制触发（如主机故障后虚拟机在其他主机拉起）或虚拟机异常崩溃重启导致，概率估计 ~60%
② 虚拟机-005 虚拟机重启失败
   判断依据：客户描述可能指“在虚拟机内执行重启操作”时遇到了失败或卡住的情况，需要排查重启操作失败的原因，概率估计 ~30%
③ 以上都不是（请补充症状描述）
请回复 ① ② 或 ③ 完成确认。</t>
        </is>
      </c>
    </row>
    <row r="16">
      <c r="A16" t="inlineStr">
        <is>
          <t>Q2026051201717</t>
        </is>
      </c>
      <c r="B16" t="inlineStr">
        <is>
          <t>HCI</t>
        </is>
      </c>
      <c r="C16" t="inlineStr">
        <is>
          <t>6.11.1_R1</t>
        </is>
      </c>
      <c r="D16" t="inlineStr">
        <is>
          <t>超融合虚拟机开机提示计算内存不足，实际主机的可配置内存是够的，需要协助。</t>
        </is>
      </c>
      <c r="E16" t="inlineStr">
        <is>
          <t>虚拟机</t>
        </is>
      </c>
      <c r="F16" t="inlineStr">
        <is>
          <t>虚拟机开关机</t>
        </is>
      </c>
      <c r="G16" t="inlineStr">
        <is>
          <t>根据您描述的故障现象“虚拟机开机提示计算内存不足”，该问题属于典型的虚拟机生命周期管理问题，故障分类明确。请确认：
① 虚拟机-003 虚拟机开机失败
   判断依据：客户描述明确指出“虚拟机开机提示计算内存不足”，虽然主观认为资源充足，但客观表现为虚拟机启动任务失败，符合虚拟机开机失败分类。
   概率估计 ~95%
③ 以上都不是（请补充症状描述）
请回复 ① 或 ③ 完成确认。</t>
        </is>
      </c>
    </row>
    <row r="17">
      <c r="A17" t="inlineStr">
        <is>
          <t>Q2026051201325</t>
        </is>
      </c>
      <c r="B17" t="inlineStr">
        <is>
          <t>HCI</t>
        </is>
      </c>
      <c r="C17" t="inlineStr"/>
      <c r="D17" t="inlineStr">
        <is>
          <t>HCI，一台服务器，故障了，有一个跑在本地磁盘的虚拟机无法启动，有部分影响</t>
        </is>
      </c>
      <c r="E17" t="inlineStr">
        <is>
          <t>虚拟机</t>
        </is>
      </c>
      <c r="F17" t="inlineStr">
        <is>
          <t>虚拟机开关机</t>
        </is>
      </c>
      <c r="G17" t="inlineStr">
        <is>
          <t>根据您的描述，核心故障特征为“服务器故障导致本地磁盘虚拟机无法启动”，这通常指向宿主机层面的故障。
请确认故障分类：
① **平台-005 主机离线或异常重启**
   判断依据：描述中明确指出“一台服务器，故障了”，且虚拟机运行在本地磁盘，宿主机故障直接导致虚拟机失去运行载体，概率估计 ~70%
② **虚拟机-003 虚拟机开机失败**
   判断依据：描述中提到“虚拟机无法启动”，若服务器当前状态已恢复在线，但虚拟机仍无法运行，则归为此类，概率估计 ~30%
③ 以上都不是（请补充症状描述）
请回复 ① ② 或 ③ 完成确认。</t>
        </is>
      </c>
    </row>
    <row r="18">
      <c r="A18" t="inlineStr">
        <is>
          <t>Q2026051201076</t>
        </is>
      </c>
      <c r="B18" t="inlineStr">
        <is>
          <t>HCI</t>
        </is>
      </c>
      <c r="C18" t="inlineStr">
        <is>
          <t>与版本无关</t>
        </is>
      </c>
      <c r="D18" t="inlineStr">
        <is>
          <t>虚拟机关机长时间卡住 然后报错关机超时</t>
        </is>
      </c>
      <c r="E18" t="inlineStr">
        <is>
          <t>虚拟机</t>
        </is>
      </c>
      <c r="F18" t="inlineStr">
        <is>
          <t>虚拟机开关机</t>
        </is>
      </c>
      <c r="G18" t="inlineStr">
        <is>
          <t>根据客户描述“虚拟机关机长时间卡住 然后报错关机超时”，该问题直接对应虚拟机关机操作失败的场景。
您的问题可能属于以下故障之一，请确认：
① 虚拟机-004 虚拟机关机失败
   判断依据：客户明确描述“虚拟机关机”操作“长时间卡住”且“报错关机超时”，符合虚拟机关机任务执行失败的典型特征。概率估计 ~95%
③ 以上都不是（请补充症状描述）
请回复 ① 或 ③ 完成确认。</t>
        </is>
      </c>
    </row>
    <row r="19">
      <c r="A19" t="inlineStr">
        <is>
          <t>Q2026051200758</t>
        </is>
      </c>
      <c r="B19" t="inlineStr">
        <is>
          <t>HCI</t>
        </is>
      </c>
      <c r="C19" t="inlineStr"/>
      <c r="D19" t="inlineStr">
        <is>
          <t>虚拟机无法启动</t>
        </is>
      </c>
      <c r="E19" t="inlineStr">
        <is>
          <t>虚拟机</t>
        </is>
      </c>
      <c r="F19" t="inlineStr">
        <is>
          <t>虚拟机开关机</t>
        </is>
      </c>
      <c r="G19" t="inlineStr">
        <is>
          <t>根据客户描述“虚拟机无法启动”，该症状直接对应虚拟机生命周期管理中的基础操作故障。
您的问题可能属于以下故障分类，请确认：
① 虚拟机-003 虚拟机开机失败
   判断依据：客户直接描述“虚拟机无法启动”，对应虚拟机开机操作失败的场景，概率估计 ~99%
③ 以上都不是（请补充症状描述）
请回复 ① 或 ③ 完成确认。</t>
        </is>
      </c>
    </row>
    <row r="20">
      <c r="A20" t="inlineStr">
        <is>
          <t>Q2026051200571</t>
        </is>
      </c>
      <c r="B20" t="inlineStr">
        <is>
          <t>HCI</t>
        </is>
      </c>
      <c r="C20" t="inlineStr"/>
      <c r="D20" t="inlineStr">
        <is>
          <t>虚拟机无法开关机，更多操作也没得操作</t>
        </is>
      </c>
      <c r="E20" t="inlineStr">
        <is>
          <t>虚拟机</t>
        </is>
      </c>
      <c r="F20" t="inlineStr">
        <is>
          <t>虚拟机开关机</t>
        </is>
      </c>
      <c r="G20" t="inlineStr">
        <is>
          <t>根据您提供的“虚拟机无法开关机”及“更多操作也没得操作”的描述，这通常意味着虚拟机处于状态异常或进程僵死状态，导致管理界面操作失效。
您的问题可能属于以下故障之一，请确认：
① **虚拟机-003 虚拟机开机失败**
   判断依据：用户明确描述“无法开机”，这是最直接的操作失败表象，概率估计 ~50%
② **虚拟机-039 虚拟机卡死无响应**
   判断依据：描述中提到“更多操作也没得操作”，且“无法关机”，符合虚拟机进程僵死或状态异常导致管理界面操作入口失效的特征，概率估计 ~40%
③ 以上都不是（请补充症状描述）
请回复 ① ② 或 ③ 完成确认。</t>
        </is>
      </c>
    </row>
    <row r="21">
      <c r="A21" t="inlineStr">
        <is>
          <t>Q2026051200329</t>
        </is>
      </c>
      <c r="B21" t="inlineStr">
        <is>
          <t>HCI</t>
        </is>
      </c>
      <c r="C21" t="inlineStr">
        <is>
          <t>6.10.0_R1</t>
        </is>
      </c>
      <c r="D21" t="inlineStr">
        <is>
          <t>HCI巡检出现三个故障 存储快照导致虚拟机开机失败检查故障</t>
        </is>
      </c>
      <c r="E21" t="inlineStr">
        <is>
          <t>虚拟机</t>
        </is>
      </c>
      <c r="F21" t="inlineStr">
        <is>
          <t>虚拟机开关机</t>
        </is>
      </c>
      <c r="G21" t="inlineStr">
        <is>
          <t>根据客户描述中明确提到的“虚拟机开机失败”这一核心症状，以及“存储快照”作为可能诱因，故障现象定位清晰。
根据故障现象，您的问题可能属于以下故障之一，请确认：
① 虚拟机-003 虚拟机开机失败
   判断依据：客户描述明确指出“虚拟机开机失败”，这是最直接的故障现象，概率估计 ~95%
② 以上都不是（请补充症状描述）
请回复 ① 或 ② 完成确认。</t>
        </is>
      </c>
    </row>
    <row r="22">
      <c r="A22" t="inlineStr">
        <is>
          <t>Q2026051200299</t>
        </is>
      </c>
      <c r="B22" t="inlineStr">
        <is>
          <t>HCI</t>
        </is>
      </c>
      <c r="C22" t="inlineStr"/>
      <c r="D22" t="inlineStr">
        <is>
          <t>有台虚拟机故障重启，客户要查原因</t>
        </is>
      </c>
      <c r="E22" t="inlineStr">
        <is>
          <t>虚拟机</t>
        </is>
      </c>
      <c r="F22" t="inlineStr">
        <is>
          <t>虚拟机开关机</t>
        </is>
      </c>
      <c r="G22" t="inlineStr"/>
    </row>
    <row r="23">
      <c r="A23" t="inlineStr">
        <is>
          <t>Q2026051200166</t>
        </is>
      </c>
      <c r="B23" t="inlineStr">
        <is>
          <t>HCI</t>
        </is>
      </c>
      <c r="C23" t="inlineStr">
        <is>
          <t>与版本无关</t>
        </is>
      </c>
      <c r="D23" t="inlineStr">
        <is>
          <t>麒麟系统客户打包成qcow2之后上传到超融合平台开服务器的时候服务器开机会直接进入紧急模式
Kylin-Server-V10-SP3-2403   sCloud 6.11.1_R1 C86</t>
        </is>
      </c>
      <c r="E23" t="inlineStr">
        <is>
          <t>虚拟机</t>
        </is>
      </c>
      <c r="F23" t="inlineStr">
        <is>
          <t>虚拟机开关机</t>
        </is>
      </c>
      <c r="G23" t="inlineStr">
        <is>
          <t>根据您提供的“服务器开机直接进入紧急模式”这一关键症状，结合虚拟机是由 qcow2 导入的场景，该故障通常与操作系统内部的文件系统挂载或引导配置有关，而非平台层面的“开机失败”。
请您确认以下分类：
① 虚拟机-044 虚拟机内部空间或文件系统异常
   判断依据：Linux 系统进入“紧急模式”绝大多数情况是因为 `/etc/fstab` 中配置的挂载点在当前虚拟机环境中找不到对应磁盘（如 UUID 变化），或者文件系统发生损坏，导致系统无法正常挂载启动，概率估计 ~85%
② 虚拟机-043 虚拟机内部软件使用异常
   判断依据：若排除文件系统问题，可能是麒麟系统与超融合平台的虚拟硬件驱动存在兼容性问题，导致操作系统内核 Panic 或关键服务启动失败而进入紧急模式，概率估计 ~10%
③ 以上都不是（请补充症状描述）
请回复 ① ② 或 ③ 完成确认。</t>
        </is>
      </c>
    </row>
    <row r="24">
      <c r="A24" t="inlineStr">
        <is>
          <t>Q2026051200037</t>
        </is>
      </c>
      <c r="B24" t="inlineStr">
        <is>
          <t>HCI</t>
        </is>
      </c>
      <c r="C24" t="inlineStr"/>
      <c r="D24" t="inlineStr">
        <is>
          <t>vm虚拟机迁移到HCI之后无法开机</t>
        </is>
      </c>
      <c r="E24" t="inlineStr">
        <is>
          <t>虚拟机</t>
        </is>
      </c>
      <c r="F24" t="inlineStr">
        <is>
          <t>虚拟机开关机</t>
        </is>
      </c>
      <c r="G24" t="inlineStr">
        <is>
          <t>根据用户描述“vm虚拟机迁移到HCI之后无法开机”，其中“vm虚拟机”通常指 VMware 虚拟机，“迁移后无法开机”是典型的迁移后验故障。故障现象明确指向虚拟机生命周期中的“启动”阶段，但也可能是迁移导致的系统兼容性问题（如蓝屏）。综合考虑，判定为中等置信度场景，需区分是平台层面的启动任务失败，还是操作系统层面的启动异常。
根据 [用户描述“无法开机”结合“VMware迁移”背景]，您的问题可能属于以下故障之一，请确认：
① 虚拟机-003 虚拟机开机失败
   判断依据：用户明确描述“无法开机”，通常指在 HCI 平台执行“开机”操作后任务失败或无响应，属于虚拟机生命周期启动故障，概率估计 ~60%
② 虚拟机-042 虚拟机内部蓝屏
   判断依据：VMware 迁移至 HCI 后，常因磁盘控制器类型变更（如 SCSI 转 Virtio）或驱动缺失导致操作系统启动崩溃（蓝屏），用户常描述为“起不来”或“无法开机”，概率估计 ~30%
③ 以上都不是（请补充症状描述）
请回复 ① ② 或 ③ 完成确认。</t>
        </is>
      </c>
    </row>
    <row r="25">
      <c r="A25" t="inlineStr">
        <is>
          <t>Q2026051102046</t>
        </is>
      </c>
      <c r="B25" t="inlineStr">
        <is>
          <t>HCI</t>
        </is>
      </c>
      <c r="C25" t="inlineStr"/>
      <c r="D25" t="inlineStr">
        <is>
          <t>oracle数据虚拟机起不来</t>
        </is>
      </c>
      <c r="E25" t="inlineStr">
        <is>
          <t>虚拟机</t>
        </is>
      </c>
      <c r="F25" t="inlineStr">
        <is>
          <t>虚拟机开关机</t>
        </is>
      </c>
      <c r="G25" t="inlineStr">
        <is>
          <t>根据客户描述“oracle数据虚拟机起不来”，即虚拟机无法正常开机启动，符合虚拟机生命周期管理中的开机失败场景。
请确认故障分类：
① 虚拟机-003 虚拟机开机失败
   判断依据：客户明确描述虚拟机“起不来”，直指虚拟机无法从关机状态转换为运行状态，属于典型的开机失败问题，概率估计 ~95%
③ 以上都不是（请补充症状描述）
请回复 ① 或 ③ 完成确认。</t>
        </is>
      </c>
    </row>
    <row r="26">
      <c r="A26" t="inlineStr">
        <is>
          <t>Q2026051101920</t>
        </is>
      </c>
      <c r="B26" t="inlineStr">
        <is>
          <t>HCI</t>
        </is>
      </c>
      <c r="C26" t="inlineStr">
        <is>
          <t>aSV3.7</t>
        </is>
      </c>
      <c r="D26" t="inlineStr">
        <is>
          <t>超融合上面之前有告警主机内存不足，然后不久出现磁盘卡慢告警。有一台虚拟机一直在正在启动状态，后续出现这个情况
目前虚拟机黑屏  迁移虚拟机重启电源也是黑屏</t>
        </is>
      </c>
      <c r="E26" t="inlineStr">
        <is>
          <t>虚拟机</t>
        </is>
      </c>
      <c r="F26" t="inlineStr">
        <is>
          <t>虚拟机开关机</t>
        </is>
      </c>
      <c r="G26" t="inlineStr">
        <is>
          <t>根据您提供的故障现象（虚拟机启动卡住、黑屏、伴随主机内存不足和磁盘卡慢告警），问题可能属于以下故障分类，请确认：
① **虚拟机-041 虚拟机内部黑屏**
   判断依据：用户明确描述“目前虚拟机黑屏”，且在尝试迁移虚拟机、重启电源后现象依旧。存储IO卡慢或资源不足常导致虚拟机无法正常加载系统而呈现黑屏状态，概率估计 ~60%
② **虚拟机-003 虚拟机开机失败**
   判断依据：用户描述虚拟机“一直在正在启动状态”，说明开机流程未能正常完成。结合“主机内存不足”和“磁盘卡慢告警”，极可能因资源瓶颈导致启动超时或失败，表现为无法进入系统，概率估计 ~35%
③ 以上都不是（请补充症状描述）
请回复 ① ② 或 ③ 完成确认。</t>
        </is>
      </c>
    </row>
    <row r="27">
      <c r="A27" t="inlineStr">
        <is>
          <t>Q2026051101663</t>
        </is>
      </c>
      <c r="B27" t="inlineStr">
        <is>
          <t>HCI</t>
        </is>
      </c>
      <c r="C27" t="inlineStr">
        <is>
          <t>6.10.0_R2</t>
        </is>
      </c>
      <c r="D27" t="inlineStr">
        <is>
          <t>HCI 单台虚拟机 ，重启以后无法启动。需要协助处理。</t>
        </is>
      </c>
      <c r="E27" t="inlineStr">
        <is>
          <t>虚拟机</t>
        </is>
      </c>
      <c r="F27" t="inlineStr">
        <is>
          <t>虚拟机开关机</t>
        </is>
      </c>
      <c r="G27" t="inlineStr">
        <is>
          <t>根据客户描述“虚拟机重启以后无法启动”，核心症状为虚拟机无法进入运行状态，属于虚拟机生命周期管理问题。
① 虚拟机-003 虚拟机开机失败
   判断依据：用户描述“无法启动”是最终状态，通常对应虚拟机由关机态切换至运行态失败，概率估计 ~70%
② 虚拟机-005 虚拟机重启失败
   判断依据：故障触发动作为“重启”，若重启任务流程（关机+开机）卡死或报错导致业务中断，概率估计 ~30%
③ 以上都不是（请补充症状描述）
请回复 ① ② 或 ③ 完成确认。</t>
        </is>
      </c>
    </row>
    <row r="28">
      <c r="A28" t="inlineStr">
        <is>
          <t>Q2026051101475</t>
        </is>
      </c>
      <c r="B28" t="inlineStr">
        <is>
          <t>HCI</t>
        </is>
      </c>
      <c r="C28" t="inlineStr">
        <is>
          <t>HCI6.11.1</t>
        </is>
      </c>
      <c r="D28" t="inlineStr">
        <is>
          <t>虚拟机开机卡在开机动画界面</t>
        </is>
      </c>
      <c r="E28" t="inlineStr">
        <is>
          <t>虚拟机</t>
        </is>
      </c>
      <c r="F28" t="inlineStr">
        <is>
          <t>虚拟机开关机</t>
        </is>
      </c>
      <c r="G28" t="inlineStr">
        <is>
          <t>根据您提供的“虚拟机开机卡在开机动画界面”症状，该问题通常表现为虚拟机处于运行状态但客户操作系统未完全加载，请确认以下分类：
① 虚拟机-039 虚拟机卡死无响应
   判断依据：虚拟机开机过程中“卡”在动画界面，通常意味着系统内核或图形服务挂起，处于无响应状态，概率估计 ~70%
② 虚拟机-003 虚拟机开机失败
   判断依据：虚拟机无法正常进入操作系统桌面，本质上属于启动流程未能成功完成的广义开机失败，概率估计 ~25%
③ 以上都不是（请补充症状描述）
请回复 ① ② 或 ③ 完成确认。</t>
        </is>
      </c>
    </row>
    <row r="29">
      <c r="A29" t="inlineStr">
        <is>
          <t>Q2026051101094</t>
        </is>
      </c>
      <c r="B29" t="inlineStr">
        <is>
          <t>HCI</t>
        </is>
      </c>
      <c r="C29" t="inlineStr"/>
      <c r="D29" t="inlineStr">
        <is>
          <t>【服务升级】：服务商通过数字化服务平台发起服务升级，请尽快联系服务商处理！&lt;br&gt;【工单描述】：虚拟机经常异常重启</t>
        </is>
      </c>
      <c r="E29" t="inlineStr">
        <is>
          <t>虚拟机</t>
        </is>
      </c>
      <c r="F29" t="inlineStr">
        <is>
          <t>虚拟机开关机</t>
        </is>
      </c>
      <c r="G29" t="inlineStr">
        <is>
          <t>根据您提供的工单描述“虚拟机经常异常重启”，这通常与平台的高可用机制触发或宿主机不稳定有关。请确认以下分类：
① 虚拟机-033 虚拟机异常HA
   判断依据：客户描述“虚拟机经常异常重启”。在HCI平台中，虚拟机非预期的自动重启最常见原因是HA（高可用）机制被错误触发（如网络脑裂、存储瞬断、主机状态异常），符合“异常HA”特征，概率估计 ~60%
② 平台-005 主机离线或异常重启
   判断依据：若宿主机本身出现频繁的异常重启或离线，会导致运行在其上的虚拟机业务中断并伴随重启现象，概率估计 ~30%
③ 以上都不是（请补充症状描述）
请回复 ① ② 或 ③ 完成确认。</t>
        </is>
      </c>
    </row>
    <row r="30">
      <c r="A30" t="inlineStr">
        <is>
          <t>Q2026051100882</t>
        </is>
      </c>
      <c r="B30" t="inlineStr">
        <is>
          <t>HCI</t>
        </is>
      </c>
      <c r="C30" t="inlineStr">
        <is>
          <t>6.10.0R2</t>
        </is>
      </c>
      <c r="D30" t="inlineStr">
        <is>
          <t>HCI导入SCP虚拟机，SCP启动，提示：“服务启动失败” HCI是amdCPU</t>
        </is>
      </c>
      <c r="E30" t="inlineStr">
        <is>
          <t>虚拟机</t>
        </is>
      </c>
      <c r="F30" t="inlineStr">
        <is>
          <t>虚拟机开关机</t>
        </is>
      </c>
      <c r="G30" t="inlineStr">
        <is>
          <t>根据您的描述“SCP启动，提示：'服务启动失败'”，问题核心在于虚拟机无法正常开机运行，您的问题可能属于以下故障之一，请确认：
① **虚拟机-003 虚拟机开机失败**
   判断依据：用户明确描述执行“SCP启动”操作后报错“服务启动失败”，该报错通常为平台任务失败提示，符合虚拟机开机失败特征。结合“HCI是amdCPU”的环境信息，需排查是否存在CPU兼容性或指令集问题导致启动受阻，概率估计 ~95%
③ 以上都不是（请补充症状描述）
请回复 ① 或 ③ 完成确认。</t>
        </is>
      </c>
    </row>
    <row r="31">
      <c r="A31" t="inlineStr">
        <is>
          <t>Q2026051100785</t>
        </is>
      </c>
      <c r="B31" t="inlineStr">
        <is>
          <t>HCI</t>
        </is>
      </c>
      <c r="C31" t="inlineStr"/>
      <c r="D31" t="inlineStr">
        <is>
          <t>虚拟机迁移之后无法开机</t>
        </is>
      </c>
      <c r="E31" t="inlineStr">
        <is>
          <t>虚拟机</t>
        </is>
      </c>
      <c r="F31" t="inlineStr">
        <is>
          <t>虚拟机开关机</t>
        </is>
      </c>
      <c r="G31" t="inlineStr">
        <is>
          <t>根据用户描述“虚拟机迁移之后无法开机”，核心故障表现为虚拟机无法正常加电启动。虽然故障发生在迁移操作之后，可能涉及存储卷挂载、配置文件路径变更或宿主机兼容性等问题，但排障诊断的入口和首要分类应聚焦于“开机失败”这一动作结果。
您的问题可能属于以下故障之一，请确认：
① 虚拟机-003 虚拟机开机失败
   判断依据：客户明确描述虚拟机在迁移操作后出现“无法开机”的故障现象，符合该分类定义，概率估计 ~95%
③ 以上都不是（请补充症状描述）
请回复 ① 或 ③ 完成确认。</t>
        </is>
      </c>
    </row>
    <row r="32">
      <c r="A32" t="inlineStr">
        <is>
          <t>Q2026051100437</t>
        </is>
      </c>
      <c r="B32" t="inlineStr">
        <is>
          <t>HCI</t>
        </is>
      </c>
      <c r="C32" t="inlineStr">
        <is>
          <t>HCI6.11.1</t>
        </is>
      </c>
      <c r="D32" t="inlineStr">
        <is>
          <t xml:space="preserve">HCI虚拟机宕机，重启和关闭虚拟机失败，重启电源后虚拟机卡住
</t>
        </is>
      </c>
      <c r="E32" t="inlineStr">
        <is>
          <t>虚拟机</t>
        </is>
      </c>
      <c r="F32" t="inlineStr">
        <is>
          <t>虚拟机开关机</t>
        </is>
      </c>
      <c r="G32" t="inlineStr">
        <is>
          <t>根据您提供的故障现象「虚拟机宕机，重启和关闭操作均失败，且电源重启后虚拟机卡住」，问题核心在于虚拟机处于无法响应管控指令的异常状态。
您的问题可能属于以下故障之一，请确认：
① 虚拟机-039 虚拟机卡死无响应
   判断依据：客户描述“虚拟机宕机”、“重启和关闭虚拟机失败”且“卡住”，这是典型的虚拟机进程死锁或状态异常表现，导致无法响应平台的生命周期管理指令，概率估计 ~70%
② 虚拟机-009 虚拟机异常挂起
   判断依据：虚拟机处于“卡住”状态且无法执行开关机操作，也可能是虚拟机进入了异常挂起状态导致无法响应常规电源操作，概率估计 ~25%
③ 以上都不是（请补充症状描述）
请回复 ① ② 或 ③ 完成确认。</t>
        </is>
      </c>
    </row>
    <row r="33">
      <c r="A33" t="inlineStr">
        <is>
          <t>Q2026051000255</t>
        </is>
      </c>
      <c r="B33" t="inlineStr">
        <is>
          <t>HCI</t>
        </is>
      </c>
      <c r="C33" t="inlineStr">
        <is>
          <t>6.3.0R1</t>
        </is>
      </c>
      <c r="D33" t="inlineStr">
        <is>
          <t>单个虚拟机无法开机</t>
        </is>
      </c>
      <c r="E33" t="inlineStr">
        <is>
          <t>虚拟机</t>
        </is>
      </c>
      <c r="F33" t="inlineStr">
        <is>
          <t>虚拟机开关机</t>
        </is>
      </c>
      <c r="G33" t="inlineStr">
        <is>
          <t>根据客户描述“单个虚拟机无法开机”，该问题描述明确指向虚拟机生命周期操作失败，匹配虚拟机域分类。
① 虚拟机-003 虚拟机开机失败
   判断依据：客户明确描述“单个虚拟机无法开机”，直接对应虚拟机开机操作失败的场景，概率估计 ~99%
③ 以上都不是（请补充症状描述）
请回复 ① 或 ③ 完成确认。</t>
        </is>
      </c>
    </row>
    <row r="34">
      <c r="A34" t="inlineStr">
        <is>
          <t>Q2026051000201</t>
        </is>
      </c>
      <c r="B34" t="inlineStr">
        <is>
          <t>HCI</t>
        </is>
      </c>
      <c r="C34" t="inlineStr">
        <is>
          <t>HCI6.11.1_R1</t>
        </is>
      </c>
      <c r="D34" t="inlineStr">
        <is>
          <t>机房断电来电后几台虚拟机系统开机失败</t>
        </is>
      </c>
      <c r="E34" t="inlineStr">
        <is>
          <t>虚拟机</t>
        </is>
      </c>
      <c r="F34" t="inlineStr">
        <is>
          <t>虚拟机开关机</t>
        </is>
      </c>
      <c r="G34" t="inlineStr">
        <is>
          <t>根据用户描述中明确的“虚拟机”对象及“开机失败”核心症状，结合“断电来电后”的场景诱因，判断核心问题为虚拟机启动流程受阻。
① 虚拟机-003 虚拟机开机失败
   判断依据：用户明确描述“几台虚拟机系统开机失败”，直接命中虚拟机生命周期管理中的启动失败场景，断电可能导致存储锁或状态异常从而引发此故障，概率估计 ~95%
③ 以上都不是（请补充症状描述）
请回复 ① 或 ③ 完成确认。</t>
        </is>
      </c>
    </row>
    <row r="35">
      <c r="A35" t="inlineStr">
        <is>
          <t>Q2026051000179</t>
        </is>
      </c>
      <c r="B35" t="inlineStr">
        <is>
          <t>HCI</t>
        </is>
      </c>
      <c r="C35" t="inlineStr"/>
      <c r="D35" t="inlineStr">
        <is>
          <t>所有虚拟机无法开机，反馈存储有异常</t>
        </is>
      </c>
      <c r="E35" t="inlineStr">
        <is>
          <t>虚拟机</t>
        </is>
      </c>
      <c r="F35" t="inlineStr">
        <is>
          <t>虚拟机开关机</t>
        </is>
      </c>
      <c r="G35" t="inlineStr">
        <is>
          <t>根据客户描述“所有虚拟机无法开机”及“反馈存储有异常”，问题指向虚拟机生命周期故障，且底层原因极大概率涉及存储服务异常。
综合分析如下：
- **核心症状**：所有虚拟机无法开机。
- **关联信息**：客户反馈存储异常（可能是存储离线、服务停止或存储网络中断）。
- **逻辑推理**：存储异常会导致虚拟机磁盘无法挂载，进而导致开机失败。这属于虚拟机开机失败的典型场景之一，同时也可能直接归类为存储状态异常。
为了精准定位排查方向，请确认以下分类：
① **虚拟机-003 虚拟机开机失败**
   判断依据：客户主诉为“所有虚拟机无法开机”，这是最直接的故障表象，符合虚拟机生命周期管理故障特征，概率估计 ~60%
② **存储-019 虚拟存储状态异常（离线、服务异常、服务未启动等）**
   判断依据：客户明确反馈“存储有异常”，若存储服务离线或状态不健康，直接导致所有VM无法开机，概率估计 ~40%
③ 以上都不是（请补充症状描述）
请回复 ① ② 或 ③ 完成确认。</t>
        </is>
      </c>
    </row>
    <row r="36">
      <c r="A36" t="inlineStr">
        <is>
          <t>Q2026051000111</t>
        </is>
      </c>
      <c r="B36" t="inlineStr">
        <is>
          <t>HCI</t>
        </is>
      </c>
      <c r="C36" t="inlineStr"/>
      <c r="D36" t="inlineStr">
        <is>
          <t>虚拟机异常重启帮忙找人分析一下
告警日志样例: &amp;lt;116&amp;gt;SCP|p1|2026-05-10 11:51:51 +0800 +08|vm|WXVMP115|admin|云主机无响应|云主机(115bgy0076_dengxuming)故障，已经自动重启恢复</t>
        </is>
      </c>
      <c r="E36" t="inlineStr">
        <is>
          <t>虚拟机</t>
        </is>
      </c>
      <c r="F36" t="inlineStr">
        <is>
          <t>虚拟机开关机</t>
        </is>
      </c>
      <c r="G36" t="inlineStr">
        <is>
          <t>根据告警日志中明确出现的“云主机无响应”及“自动重启恢复”关键词，判断故障核心为虚拟机假死触发的恢复机制。
① 虚拟机-039 虚拟机卡死无响应
   判断依据：告警日志显示“云主机无响应”，且随后“已经自动重启恢复”，符合虚拟机因内部卡死或假死导致平台检测异常并触发HA（高可用）重启的特征，概率估计 ~95%
③ 以上都不是（请补充症状描述）
请回复 ① 或 ③ 完成确认。</t>
        </is>
      </c>
    </row>
    <row r="37">
      <c r="A37" t="inlineStr">
        <is>
          <t>Q2026050900855</t>
        </is>
      </c>
      <c r="B37" t="inlineStr">
        <is>
          <t>HCI</t>
        </is>
      </c>
      <c r="C37" t="inlineStr">
        <is>
          <t>6.11.1_R1</t>
        </is>
      </c>
      <c r="D37" t="inlineStr">
        <is>
          <t>虚拟机关机卡</t>
        </is>
      </c>
      <c r="E37" t="inlineStr">
        <is>
          <t>虚拟机</t>
        </is>
      </c>
      <c r="F37" t="inlineStr">
        <is>
          <t>虚拟机开关机</t>
        </is>
      </c>
      <c r="G37" t="inlineStr">
        <is>
          <t>根据客户描述“虚拟机关机卡”，问题核心在于虚拟机关机生命周期执行受阻，您的问题可能属于以下故障之一，请确认：
① 虚拟机-004 虚拟机关机失败
   判断依据：客户描述“虚拟机关机卡”，通常指执行关机操作后长时间无响应或任务进度停滞，直接对应虚拟机关机生命周期故障。概率估计 ~95%
③ 以上都不是（请补充症状描述）
请回复 ① 或 ③ 完成确认。</t>
        </is>
      </c>
    </row>
    <row r="38">
      <c r="A38" t="inlineStr">
        <is>
          <t>Q2026050900668</t>
        </is>
      </c>
      <c r="B38" t="inlineStr">
        <is>
          <t>HCI</t>
        </is>
      </c>
      <c r="C38" t="inlineStr"/>
      <c r="D38" t="inlineStr">
        <is>
          <t>scmt迁移win7虚拟机，迁移之后 一直处于开机界面开不开机</t>
        </is>
      </c>
      <c r="E38" t="inlineStr">
        <is>
          <t>虚拟机</t>
        </is>
      </c>
      <c r="F38" t="inlineStr">
        <is>
          <t>虚拟机开关机</t>
        </is>
      </c>
      <c r="G38" t="inlineStr">
        <is>
          <t>根据 [客户描述：scmt迁移win7虚拟机后无法开机]，您的问题可能属于以下故障之一，请确认：
① 虚拟机-014 虚拟机scmt迁移失败
   判断依据：故障发生在"scmt迁移"操作之后，Win7虚拟机一直处于开机界面无法进入系统，属于迁移后典型的不兼容或启动引导异常问题，概率估计 ~85%
② 虚拟机-003 虚拟机开机失败
   判断依据：故障现象表现为"开不开机"，即虚拟机无法正常启动进入操作系统，概率估计 ~10%
③ 以上都不是（请补充症状描述）
请回复 ① ② 或 ③ 完成确认。</t>
        </is>
      </c>
    </row>
    <row r="39">
      <c r="A39" t="inlineStr">
        <is>
          <t>Q2026050900573</t>
        </is>
      </c>
      <c r="B39" t="inlineStr">
        <is>
          <t>HCI</t>
        </is>
      </c>
      <c r="C39" t="inlineStr">
        <is>
          <t>6.10.0_R2</t>
        </is>
      </c>
      <c r="D39" t="inlineStr">
        <is>
          <t>HCI 虚拟机开机八个小时比较慢、卡顿、 。需要协助排查</t>
        </is>
      </c>
      <c r="E39" t="inlineStr">
        <is>
          <t>虚拟机</t>
        </is>
      </c>
      <c r="F39" t="inlineStr">
        <is>
          <t>虚拟机开关机</t>
        </is>
      </c>
      <c r="G39" t="inlineStr">
        <is>
          <t>根据客户描述“虚拟机开机八个小时比较慢、卡顿”，提取关键信息为“开机耗时极长（8小时）”和“卡顿”。
您的问题可能属于以下故障之一，请确认：
① 虚拟机-036 虚拟机整体卡慢
   判断依据：客户明确描述“开机比较慢、卡顿”，且开机时长达到8小时属于严重的性能瓶颈，符合“整体卡慢”的症状定义，概率估计 ~60%
② 虚拟机-039 虚拟机卡死无响应
   判断依据：开机过程长达8小时在 HCI 环境中属于极端异常情况，极易被现场判定为“死机”或“无响应”状态，概率估计 ~35%
③ 以上都不是（请补充症状描述）
请回复 ① ② 或 ③ 完成确认。</t>
        </is>
      </c>
    </row>
    <row r="40">
      <c r="A40" t="inlineStr">
        <is>
          <t>Q2026050900569</t>
        </is>
      </c>
      <c r="B40" t="inlineStr">
        <is>
          <t>HCI</t>
        </is>
      </c>
      <c r="C40" t="inlineStr">
        <is>
          <t>6.11.1R1</t>
        </is>
      </c>
      <c r="D40" t="inlineStr">
        <is>
          <t>HCI 虚拟机开机开不了 主机 离线 没办法编辑内存</t>
        </is>
      </c>
      <c r="E40" t="inlineStr">
        <is>
          <t>虚拟机</t>
        </is>
      </c>
      <c r="F40" t="inlineStr">
        <is>
          <t>虚拟机开关机</t>
        </is>
      </c>
      <c r="G40" t="inlineStr">
        <is>
          <t>根据您提供的工单信息，核心问题指向“主机离线”，这直接导致了虚拟机无法开机及配置无法修改。
您的问题可能属于以下故障之一，请确认：
① **平台-005 主机离线或异常重启**
   判断依据：客户描述明确提到“主机 离线”。宿主机离线会导致其上运行的虚拟机处于不可用状态，从而引发“虚拟机开机开不了”以及资源锁定导致“没办法编辑内存”，概率估计 ~95%
② **虚拟机-003 虚拟机开机失败**
   判断依据：客户描述“虚拟机开机开不了”。虽然这是主机离线的直接后果，但若主机状态实际为在线而仅是VM异常，则归为此类，概率估计 ~5%
③ 以上都不是（请补充症状描述）
请回复 ① ② 或 ③ 完成确认。</t>
        </is>
      </c>
    </row>
    <row r="41">
      <c r="A41" t="inlineStr">
        <is>
          <t>Q2026050900537</t>
        </is>
      </c>
      <c r="B41" t="inlineStr">
        <is>
          <t>HCI</t>
        </is>
      </c>
      <c r="C41" t="inlineStr"/>
      <c r="D41" t="inlineStr">
        <is>
          <t>超融合有一个主机故障了，磁盘变成只读，无法进入引导，  因为一台出问题，负载都转移到别的实体机上了，导致业务几个虚拟机重启了，影响核心业务，需要协助。</t>
        </is>
      </c>
      <c r="E41" t="inlineStr">
        <is>
          <t>虚拟机</t>
        </is>
      </c>
      <c r="F41" t="inlineStr">
        <is>
          <t>虚拟机开关机</t>
        </is>
      </c>
      <c r="G41" t="inlineStr">
        <is>
          <t>根据客户描述的“主机故障、磁盘只读、无法进入引导”这一核心故障现象，以及引发的“虚拟机重启”影响业务的情况，初步判断如下：
① 平台-005 主机离线或异常重启
   判断依据：客户明确指出“超融合有一个主机故障了”、“无法进入引导”，主机处于无法提供服务的离线或故障状态，概率估计 ~60%
② 硬件-023 硬盘坏道
   判断依据：客户描述“磁盘变成只读”，这通常是磁盘介质错误或坏道导致文件系统自我保护的模式，直接指向硬盘硬件故障，概率估计 ~35%
③ 以上都不是（请补充症状描述）
请回复 ① ② 或 ③ 完成确认。</t>
        </is>
      </c>
    </row>
    <row r="42">
      <c r="A42" t="inlineStr">
        <is>
          <t>Q2026050900181</t>
        </is>
      </c>
      <c r="B42" t="inlineStr">
        <is>
          <t>HCI</t>
        </is>
      </c>
      <c r="C42" t="inlineStr">
        <is>
          <t>HCI6.10.0_R2</t>
        </is>
      </c>
      <c r="D42" t="inlineStr">
        <is>
          <t>linux虚拟机开机失败，报错内部异常</t>
        </is>
      </c>
      <c r="E42" t="inlineStr">
        <is>
          <t>虚拟机</t>
        </is>
      </c>
      <c r="F42" t="inlineStr">
        <is>
          <t>虚拟机开关机</t>
        </is>
      </c>
      <c r="G42" t="inlineStr">
        <is>
          <t>根据客户描述“linux虚拟机开机失败”及报错“内部异常”，问题直接指向虚拟机生命周期管理中的启动环节。
① 虚拟机-003 虚拟机开机失败
   判断依据：用户明确描述“linux虚拟机开机失败”，报错“内部异常”通常为平台返回的开机任务失败提示，概率估计 ~98%
③ 以上都不是（请补充症状描述）
请回复 ① 或 ③ 完成确认。</t>
        </is>
      </c>
    </row>
    <row r="43">
      <c r="A43" t="inlineStr">
        <is>
          <t>Q2026050900008</t>
        </is>
      </c>
      <c r="B43" t="inlineStr">
        <is>
          <t>HCI</t>
        </is>
      </c>
      <c r="C43" t="inlineStr">
        <is>
          <t>6.9.1</t>
        </is>
      </c>
      <c r="D43" t="inlineStr">
        <is>
          <t>【服务升级】：服务商通过数字化服务平台发起服务升级，请尽快联系服务商处理！&lt;br&gt;【工单描述】：就是之前编辑过虚拟机配置，今晚这次不小心点错了关机，然后虚拟机卡在正在更新了</t>
        </is>
      </c>
      <c r="E43" t="inlineStr">
        <is>
          <t>虚拟机</t>
        </is>
      </c>
      <c r="F43" t="inlineStr">
        <is>
          <t>虚拟机开关机</t>
        </is>
      </c>
      <c r="G43" t="inlineStr">
        <is>
          <t>根据用户描述中“编辑过虚拟机配置”、“点错关机”以及“卡在正在更新”的关键信息，问题指向虚拟机状态转换异常。
根据故障现象，您的问题可能属于以下故障之一，请确认：
① **虚拟机-004 虚拟机关机失败**
   判断依据：用户明确提到执行了“关机”操作，但虚拟机未能正常关闭，而是“卡在正在更新”，符合关机任务执行失败或超时的特征，概率估计 ~70%
② **虚拟机-009 虚拟机异常挂起**
   判断依据：虚拟机处于“正在更新”状态且无进一步进展，表现为任务挂起或状态死锁，也可能是配置变更过程被中断导致的异常挂起，概率估计 ~25%
③ 以上都不是（请补充症状描述）
请回复 ① ② 或 ③ 完成确认。</t>
        </is>
      </c>
    </row>
    <row r="44">
      <c r="A44" t="inlineStr">
        <is>
          <t>Q2026050801991</t>
        </is>
      </c>
      <c r="B44" t="inlineStr">
        <is>
          <t>HCI</t>
        </is>
      </c>
      <c r="C44" t="inlineStr">
        <is>
          <t>HCI6.10.0_R2</t>
        </is>
      </c>
      <c r="D44" t="inlineStr">
        <is>
          <t>主机断电后，单台虚拟机无法开机，找不到系统盘，恢复备份也不行</t>
        </is>
      </c>
      <c r="E44" t="inlineStr">
        <is>
          <t>虚拟机</t>
        </is>
      </c>
      <c r="F44" t="inlineStr">
        <is>
          <t>虚拟机开关机</t>
        </is>
      </c>
      <c r="G44" t="inlineStr">
        <is>
          <t>根据客户描述“主机断电后，单台虚拟机无法开机，找不到系统盘”，这直接对应虚拟机启动过程中的存储挂载失败，属于典型的开机失败场景。虽然涉及存储因素，但故障主体明确为单台虚拟机的启动动作。
您的问题可能属于以下故障分类，请确认：
① **虚拟机-003 虚拟机开机失败**
   判断依据：用户明确描述“虚拟机无法开机”，并伴有“找不到系统盘”的错误提示，符合虚拟机启动流程中存储挂载失败导致开机异常的典型特征。概率估计 ~90%
② **虚拟机-048 虚拟机数据丢失**
   判断依据：客户提到“找不到系统盘”且“恢复备份也不行”，存在磁盘文件缺失、损坏或存储路径异常导致数据不可访问的可能性。概率估计 ~10%
③ 以上都不是（请补充症状描述）
请回复 ① ② 或 ③ 完成确认。</t>
        </is>
      </c>
    </row>
    <row r="45">
      <c r="A45" t="inlineStr">
        <is>
          <t>Q2026050801094</t>
        </is>
      </c>
      <c r="B45" t="inlineStr">
        <is>
          <t>HCI</t>
        </is>
      </c>
      <c r="C45" t="inlineStr">
        <is>
          <t>6.0.0R5</t>
        </is>
      </c>
      <c r="D45" t="inlineStr">
        <is>
          <t>修复多台linux虚拟机开机救援模式问题</t>
        </is>
      </c>
      <c r="E45" t="inlineStr">
        <is>
          <t>虚拟机</t>
        </is>
      </c>
      <c r="F45" t="inlineStr">
        <is>
          <t>虚拟机开关机</t>
        </is>
      </c>
      <c r="G45" t="inlineStr">
        <is>
          <t>根据您提供的「修复多台linux虚拟机开机救援模式问题」描述，虚拟机能进入救援模式通常说明平台层已成功加载虚拟机硬件（CPU/内存/磁盘已挂载），但客户机操作系统内部因文件系统损坏或配置错误导致无法正常引导。
您的问题可能属于以下故障之一，请确认：
① **虚拟机-044 虚拟机内部空间或文件系统异常**
   判断依据：Linux 虚拟机进入「救援模式」最常见的原因是 `/etc/fstab` 配置错误、文件系统损坏（需 fsck 修复）或磁盘空间满，导致操作系统无法挂载关键分区而中断引导，概率估计 ~80%
② **虚拟机-043 虚拟机内部软件使用异常**
   判断依据：若非文件系统问题，可能是操作系统关键配置文件丢失、内核参数错误或驱动不兼容导致的引导失败，归类为虚拟机内部软件/系统配置异常，概率估计 ~15%
③ 以上都不是（请补充症状描述）
请回复 ① ② 或 ③ 完成确认。</t>
        </is>
      </c>
    </row>
    <row r="46">
      <c r="A46" t="inlineStr">
        <is>
          <t>Q2026050800602</t>
        </is>
      </c>
      <c r="B46" t="inlineStr">
        <is>
          <t>HCI</t>
        </is>
      </c>
      <c r="C46" t="inlineStr">
        <is>
          <t>6.11.1</t>
        </is>
      </c>
      <c r="D46" t="inlineStr">
        <is>
          <t>2台主机，A迁移到B，一台虚拟机打不开了</t>
        </is>
      </c>
      <c r="E46" t="inlineStr">
        <is>
          <t>虚拟机</t>
        </is>
      </c>
      <c r="F46" t="inlineStr">
        <is>
          <t>虚拟机开关机</t>
        </is>
      </c>
      <c r="G46" t="inlineStr">
        <is>
          <t>根据用户描述的“迁移操作后虚拟机无法打开”这一核心症状，结合故障分类基准，判断如下：
根据 [故障现象为虚拟机无法打开，且发生在迁移动作之后]，您的问题可能属于以下故障之一，请确认：
① 虚拟机-003 虚拟机开机失败
   判断依据：用户明确描述“一台虚拟机打不开了”，直接对应虚拟机开机失败的故障定义，迁移操作可能是导致开机失败的前置诱因（如配置变更、文件损坏等），概率估计 ~90%
② 虚拟机-L2-虚拟机集群内或跨集群迁移失败 虚拟机集群内或跨集群迁移失败
   判断依据：用户提及“A迁移到B”的操作背景，若迁移任务本身未完成或异常中断导致虚拟机处于不可用状态，可能属于迁移失败范畴，概率估计 ~30%
③ 以上都不是（请补充症状描述）
请回复 ① ② 或 ③ 完成确认。</t>
        </is>
      </c>
    </row>
    <row r="47">
      <c r="A47" t="inlineStr">
        <is>
          <t>Q2026050800284</t>
        </is>
      </c>
      <c r="B47" t="inlineStr">
        <is>
          <t>HCI</t>
        </is>
      </c>
      <c r="C47" t="inlineStr">
        <is>
          <t>6.10.0_R2</t>
        </is>
      </c>
      <c r="D47" t="inlineStr">
        <is>
          <t>外置储存虚拟机都挂起了，影响医院业务</t>
        </is>
      </c>
      <c r="E47" t="inlineStr">
        <is>
          <t>虚拟机</t>
        </is>
      </c>
      <c r="F47" t="inlineStr">
        <is>
          <t>虚拟机开关机</t>
        </is>
      </c>
      <c r="G47" t="inlineStr">
        <is>
          <t>根据您提供的故障现象“外置储存虚拟机都挂起了”，这属于典型的虚拟机状态异常问题。由于外部存储故障往往导致虚拟机 I/O 阻塞，用户界面上常表现为“挂起”或“卡死”状态。请确认具体的状态表现：
① 虚拟机-009 虚拟机异常挂起
   判断依据：用户描述明确使用了“挂起”一词，若平台界面显示虚拟机状态为“已挂起”或任务卡在挂起阶段，则归为此类。概率估计 ~50%
② 虚拟机-039 虚拟机卡死无响应
   判断依据：外置存储故障常导致虚拟机进程因 I/O 超时而卡死（Stopped/Paused），此时虚拟机在界面可能显示运行中但实际无响应，或被用户口头描述为“挂起”。概率估计 ~40%
③ 以上都不是（请补充症状描述）
请回复 ① ② 或 ③ 完成确认。</t>
        </is>
      </c>
    </row>
    <row r="48">
      <c r="A48" t="inlineStr">
        <is>
          <t>Q2026050700398</t>
        </is>
      </c>
      <c r="B48" t="inlineStr">
        <is>
          <t>HCI</t>
        </is>
      </c>
      <c r="C48" t="inlineStr">
        <is>
          <t>6.10.0</t>
        </is>
      </c>
      <c r="D48" t="inlineStr">
        <is>
          <t>虚拟机扩容磁盘后虚拟机无法开机</t>
        </is>
      </c>
      <c r="E48" t="inlineStr">
        <is>
          <t>虚拟机</t>
        </is>
      </c>
      <c r="F48" t="inlineStr">
        <is>
          <t>虚拟机开关机</t>
        </is>
      </c>
      <c r="G48" t="inlineStr">
        <is>
          <t>根据用户描述“虚拟机扩容磁盘后虚拟机无法开机”，问题直接指向虚拟机生命周期管理中的启动环节故障。
请确认以下分类：
① 虚拟机-003 虚拟机开机失败
   判断依据：用户明确描述“虚拟机无法开机”，直接对应故障现象，概率估计 ~95%
② 虚拟机-023 虚拟机硬件资源热添加和DRX不生效
   判断依据：故障发生在“扩容磁盘”这一硬件变更操作之后，可能涉及硬件变更导致的启动异常，概率估计 ~5%
③ 以上都不是（请补充症状描述）
请回复 ① ② 或 ③ 完成确认。</t>
        </is>
      </c>
    </row>
    <row r="49">
      <c r="A49" t="inlineStr">
        <is>
          <t>Q2026050700389</t>
        </is>
      </c>
      <c r="B49" t="inlineStr">
        <is>
          <t>HCI</t>
        </is>
      </c>
      <c r="C49" t="inlineStr">
        <is>
          <t>6.10.0_R2</t>
        </is>
      </c>
      <c r="D49" t="inlineStr">
        <is>
          <t>超融合上有个虚机启动报错，这个能协助看看给修复下启动项吗，pe进去修复试过还是不行</t>
        </is>
      </c>
      <c r="E49" t="inlineStr">
        <is>
          <t>虚拟机</t>
        </is>
      </c>
      <c r="F49" t="inlineStr">
        <is>
          <t>虚拟机开关机</t>
        </is>
      </c>
      <c r="G49" t="inlineStr">
        <is>
          <t>根据用户描述“虚机启动报错”及“pe进去修复启动项”，问题核心在于虚拟机无法正常引导进入操作系统。
根据 [虚机启动报错] 及 [尝试修复启动项] 的特征，您的问题可能属于以下故障之一，请确认：
① 虚拟机-003 虚拟机开机失败
   判断依据：用户描述“超融合上有个虚机启动报错”，直接对应虚拟机开机阶段异常，概率估计 ~60%
② 虚拟机-043 虚拟机内部软件使用异常
   判断依据：用户提及“修复下启动项”且“pe进去修复试过”，暗示操作系统引导文件或系统配置损坏，属于虚拟机内部软件/系统层面问题，概率估计 ~35%
③ 以上都不是（请补充症状描述）
请回复 ① ② 或 ③ 完成确认。</t>
        </is>
      </c>
    </row>
    <row r="50">
      <c r="A50" t="inlineStr">
        <is>
          <t>Q2026050700271</t>
        </is>
      </c>
      <c r="B50" t="inlineStr">
        <is>
          <t>HCI</t>
        </is>
      </c>
      <c r="C50" t="inlineStr"/>
      <c r="D50" t="inlineStr">
        <is>
          <t>hci，单台虚拟机关闭，提示虚拟机启动失败，内部异常</t>
        </is>
      </c>
      <c r="E50" t="inlineStr">
        <is>
          <t>虚拟机</t>
        </is>
      </c>
      <c r="F50" t="inlineStr">
        <is>
          <t>虚拟机开关机</t>
        </is>
      </c>
      <c r="G50" t="inlineStr">
        <is>
          <t>根据客户描述中明确的错误提示“虚拟机启动失败”，问题定位如下：
① 虚拟机-003 虚拟机开机失败
   判断依据：客户描述明确提及“提示虚拟机启动失败，内部异常”，核心现象为开机操作无法完成，概率估计 ~95%
③ 以上都不是（请补充症状描述）
请回复 ① 或 ③ 完成确认。</t>
        </is>
      </c>
    </row>
    <row r="51">
      <c r="A51" t="inlineStr">
        <is>
          <t>Q2026050700035</t>
        </is>
      </c>
      <c r="B51" t="inlineStr">
        <is>
          <t>HCI</t>
        </is>
      </c>
      <c r="C51" t="inlineStr">
        <is>
          <t>HCI6.11.1_R1</t>
        </is>
      </c>
      <c r="D51" t="inlineStr">
        <is>
          <t>虚拟机开机报错剩余计算内存不足，实际上没有占用那么多</t>
        </is>
      </c>
      <c r="E51" t="inlineStr">
        <is>
          <t>虚拟机</t>
        </is>
      </c>
      <c r="F51" t="inlineStr">
        <is>
          <t>虚拟机开关机</t>
        </is>
      </c>
      <c r="G51" t="inlineStr">
        <is>
          <t>根据您描述的“虚拟机开机报错剩余计算内存不足”，这直接指向虚拟机启动操作失败。
您的问题可能属于以下故障之一，请确认：
① 虚拟机-003 虚拟机开机失败
   判断依据：用户明确描述“虚拟机开机报错”，且提示具体的资源不足信息，符合开机失败故障特征。概率估计 ~95%
③ 以上都不是（请补充症状描述）
请回复 ① 或 ③ 完成确认。</t>
        </is>
      </c>
    </row>
    <row r="52">
      <c r="A52" t="inlineStr">
        <is>
          <t>Q2026050601757</t>
        </is>
      </c>
      <c r="B52" t="inlineStr">
        <is>
          <t>HCI</t>
        </is>
      </c>
      <c r="C52" t="inlineStr">
        <is>
          <t>5.8.7R1</t>
        </is>
      </c>
      <c r="D52" t="inlineStr">
        <is>
          <t>导入虚拟机开机失败  提示guest  not</t>
        </is>
      </c>
      <c r="E52" t="inlineStr">
        <is>
          <t>虚拟机</t>
        </is>
      </c>
      <c r="F52" t="inlineStr">
        <is>
          <t>虚拟机开关机</t>
        </is>
      </c>
      <c r="G52" t="inlineStr">
        <is>
          <t>根据您的描述“导入虚拟机开机失败，提示guest not”，问题核心在于虚拟机无法正常启动，这属于虚拟机生命周期管理问题。
您的问题可能属于以下故障，请确认：
① **虚拟机-003 虚拟机开机失败**
   判断依据：客户明确描述“开机失败”，且报错“guest not”通常指向虚拟机启动过程中无法识别客户机类型、序列号校验失败或Guest Agent通信异常，符合虚拟机开机失败的特征，概率估计 ~90%
② **虚拟机-006 虚拟机导入失败**
   判断依据：故障发生在“导入虚拟机”这一动作之后，若导入过程导致虚拟机配置文件（如OS类型标识）异常，从而引发后续开机报错，则可能归因于导入环节的配置问题，概率估计 ~10%
③ 以上都不是（请补充症状描述）
请回复 ① ② 或 ③ 完成确认。</t>
        </is>
      </c>
    </row>
    <row r="53">
      <c r="A53" t="inlineStr">
        <is>
          <t>Q2026050601748</t>
        </is>
      </c>
      <c r="B53" t="inlineStr">
        <is>
          <t>HCI</t>
        </is>
      </c>
      <c r="C53" t="inlineStr">
        <is>
          <t>6.10.0_R2</t>
        </is>
      </c>
      <c r="D53" t="inlineStr">
        <is>
          <t>同问题Q2026012301295，问题复现，需处理，数据库主库节点离线</t>
        </is>
      </c>
      <c r="E53" t="inlineStr">
        <is>
          <t>虚拟机</t>
        </is>
      </c>
      <c r="F53" t="inlineStr">
        <is>
          <t>虚拟机开关机</t>
        </is>
      </c>
      <c r="G53" t="inlineStr">
        <is>
          <t>根据客户描述“数据库主库节点离线”，结合HCI术语习惯（“节点”常指虚拟机集群中的角色，但也可能指物理主机），分析如下：
关键实体识别为“数据库主库节点”（通常为虚拟机）。
故障状态为“离线”。
引用历史工单表明问题复现，需排查无法上线原因。
① 虚拟机-003 虚拟机开机失败
   判断依据：客户描述“数据库主库节点离线”，在HCI环境中数据库节点通常以虚拟机形态运行。节点离线且需人工处理，极大概率是虚拟机处于关机状态且无法正常启动（如存储锁、资源不足等），概率估计 ~70%
② 平台-005 主机离线或异常重启
   判断依据：若客户语境中“节点”指代物理宿主机，且数据库主库运行于该主机上，则主机离线会导致业务中断。需排除物理机故障导致业务虚机无法迁移或恢复的情况，概率估计 ~25%
③ 以上都不是（请补充症状描述）
请回复 ① ② 或 ③ 完成确认。</t>
        </is>
      </c>
    </row>
    <row r="54">
      <c r="A54" t="inlineStr">
        <is>
          <t>Q2026050601667</t>
        </is>
      </c>
      <c r="B54" t="inlineStr">
        <is>
          <t>HCI</t>
        </is>
      </c>
      <c r="C54" t="inlineStr">
        <is>
          <t>6.10.0_R2</t>
        </is>
      </c>
      <c r="D54" t="inlineStr">
        <is>
          <t>Oracle rac起不来</t>
        </is>
      </c>
      <c r="E54" t="inlineStr">
        <is>
          <t>虚拟机</t>
        </is>
      </c>
      <c r="F54" t="inlineStr">
        <is>
          <t>虚拟机开关机</t>
        </is>
      </c>
      <c r="G54" t="inlineStr">
        <is>
          <t>根据您的描述“Oracle rac起不来”，这通常指代业务层面的故障，但也存在虚拟机本身状态异常的可能性。结合实体“Oracle rac”和症状“起不来”，初步判断如下：
① 虚拟机-043 虚拟机内部软件使用异常
   判断依据：Oracle RAC 属于典型的业务应用集群。若虚拟机在 HCI 平台显示为“运行”状态，但集群服务或数据库实例无法启动，通常归为此类软件配置或使用异常，概率估计 ~70%
② 虚拟机-003 虚拟机开机失败
   判断依据：若客户所指“起不来”为虚拟机在 HCI 平台层面无法通电开机（任务失败），则属于开机故障，概率估计 ~30%
③ 以上都不是（请补充症状描述）
请回复 ① ② 或 ③ 完成确认。</t>
        </is>
      </c>
    </row>
    <row r="55">
      <c r="A55" t="inlineStr">
        <is>
          <t>Q2026050601637</t>
        </is>
      </c>
      <c r="B55" t="inlineStr">
        <is>
          <t>HCI</t>
        </is>
      </c>
      <c r="C55" t="inlineStr"/>
      <c r="D55" t="inlineStr">
        <is>
          <t>其他存储里面挂载iscsi服务器后，通过虚拟机设置里添加磁盘挂载给虚拟机使用，虚拟机启动提示不在线</t>
        </is>
      </c>
      <c r="E55" t="inlineStr">
        <is>
          <t>虚拟机</t>
        </is>
      </c>
      <c r="F55" t="inlineStr">
        <is>
          <t>虚拟机开关机</t>
        </is>
      </c>
      <c r="G55" t="inlineStr">
        <is>
          <t>根据您的描述，问题发生在“挂载iSCSI存储并添加磁盘”这一特定操作之后，且故障提示为“不在线”。这通常意味着底层的iSCSI存储状态异常（如断开、不可访问），直接导致了依赖该磁盘的虚拟机启动失败。因此，问题核心大概率位于存储域。
请确认以下最可能的故障分类：
① **存储-031 ISCSI存储状态离线**
   判断依据：客户描述“挂载iscsi服务器后...虚拟机启动提示不在线”，该提示通常指存储资源状态不可用，导致虚拟机无法读取磁盘配置，符合iSCSI存储离线特征。概率估计 ~85%
② **虚拟机-003 虚拟机开机失败**
   判断依据：虚拟机启动操作受阻，从用户视角看核心现象为开机未能成功，属于虚拟机生命周期管理范畴。概率估计 ~10%
③ 以上都不是（请补充症状描述）
请回复 ① ② 或 ③ 完成确认。</t>
        </is>
      </c>
    </row>
    <row r="56">
      <c r="A56" t="inlineStr">
        <is>
          <t>Q2026050601538</t>
        </is>
      </c>
      <c r="B56" t="inlineStr">
        <is>
          <t>HCI</t>
        </is>
      </c>
      <c r="C56" t="inlineStr">
        <is>
          <t>HCI6.10.0_R2</t>
        </is>
      </c>
      <c r="D56" t="inlineStr">
        <is>
          <t>很多虚拟机卡在windows开机界面进不去</t>
        </is>
      </c>
      <c r="E56" t="inlineStr">
        <is>
          <t>虚拟机</t>
        </is>
      </c>
      <c r="F56" t="inlineStr">
        <is>
          <t>虚拟机开关机</t>
        </is>
      </c>
      <c r="G56" t="inlineStr">
        <is>
          <t>根据客户描述“很多虚拟机卡在windows开机界面进不去”，这通常属于虚拟机运行状态异常。现象表明虚拟机进程可能未完全死机（有显示），但无法完成加载，符合“卡死”或“严重卡慢”特征。
您的问题可能属于以下故障之一，请确认：
① 虚拟机-039 虚拟机卡死无响应
   判断依据：虚拟机停滞在开机动画界面无法进入桌面，属于典型的系统假死或挂起状态，概率估计 ~70%
② 虚拟机-036 虚拟机整体卡慢
   判断依据：若虚拟机仍在进行极低速的磁盘读写（如IO阻塞），表现即为卡在界面加载过程，概率估计 ~25%
③ 以上都不是（请补充症状描述）
请回复 ① ② 或 ③ 完成确认。</t>
        </is>
      </c>
    </row>
    <row r="57">
      <c r="A57" t="inlineStr">
        <is>
          <t>Q2026050601529</t>
        </is>
      </c>
      <c r="B57" t="inlineStr">
        <is>
          <t>HCI</t>
        </is>
      </c>
      <c r="C57" t="inlineStr">
        <is>
          <t>HCI6.10.0_R2</t>
        </is>
      </c>
      <c r="D57" t="inlineStr">
        <is>
          <t>迁移之后的2个虚拟机开机失败</t>
        </is>
      </c>
      <c r="E57" t="inlineStr">
        <is>
          <t>虚拟机</t>
        </is>
      </c>
      <c r="F57" t="inlineStr">
        <is>
          <t>虚拟机开关机</t>
        </is>
      </c>
      <c r="G57" t="inlineStr">
        <is>
          <t>根据 [客户描述明确指出迁移操作后发生“虚拟机开机失败”的现象]，您的问题可能属于以下故障之一，请确认：
① 虚拟机-003 虚拟机开机失败
   判断依据：客户描述中明确提到“迁移之后的2个虚拟机开机失败”，核心故障现象为虚拟机无法启动，概率估计 ~95%
③ 以上都不是（请补充症状描述）
请回复 ① 或 ③ 完成确认。</t>
        </is>
      </c>
    </row>
    <row r="58">
      <c r="A58" t="inlineStr">
        <is>
          <t>Q2026050601247</t>
        </is>
      </c>
      <c r="B58" t="inlineStr">
        <is>
          <t>HCI</t>
        </is>
      </c>
      <c r="C58" t="inlineStr">
        <is>
          <t>6.10.0_R2</t>
        </is>
      </c>
      <c r="D58" t="inlineStr">
        <is>
          <t>虚拟机内部关机需要查原因</t>
        </is>
      </c>
      <c r="E58" t="inlineStr">
        <is>
          <t>虚拟机</t>
        </is>
      </c>
      <c r="F58" t="inlineStr">
        <is>
          <t>虚拟机开关机</t>
        </is>
      </c>
      <c r="G58" t="inlineStr">
        <is>
          <t>根据客户描述“虚拟机内部关机需要查原因”，这通常指向虚拟机生命周期管理中的关机操作异常或内部系统状态异常。您的问题可能属于以下故障之一，请确认：
① **虚拟机-004 虚拟机关机失败**
   判断依据：客户描述涉及“虚拟机内部关机”，若指执行关机操作卡住、超时或无反应，则符合此分类，概率估计 ~60%
② **虚拟机-042 虚拟机内部蓝屏**
   判断依据：若“需要查原因”是指虚拟机意外关闭或重启，且可能伴随系统崩溃（蓝屏），则符合此分类，概率估计 ~30%
③ 以上都不是（请补充症状描述）
请回复 ① ② 或 ③ 完成确认。</t>
        </is>
      </c>
    </row>
    <row r="59">
      <c r="A59" t="inlineStr">
        <is>
          <t>Q2026050600970</t>
        </is>
      </c>
      <c r="B59" t="inlineStr">
        <is>
          <t>HCI</t>
        </is>
      </c>
      <c r="C59" t="inlineStr"/>
      <c r="D59" t="inlineStr">
        <is>
          <t>虚拟机重启查原因</t>
        </is>
      </c>
      <c r="E59" t="inlineStr">
        <is>
          <t>虚拟机</t>
        </is>
      </c>
      <c r="F59" t="inlineStr">
        <is>
          <t>虚拟机开关机</t>
        </is>
      </c>
      <c r="G59" t="inlineStr">
        <is>
          <t>根据您的描述“虚拟机重启查原因”，这通常指向虚拟机发生了非预期的重启或重启操作异常。结合 HCI 平台特性，问题可能属于以下故障之一，请确认：
① **虚拟机-033 虚拟机异常HA**
   判断依据：用户旨在“查原因”，通常暗示虚拟机发生了意料之外的自动重启。在 HCI 平台中，宿主机故障或 HA 机制触发会导致虚拟机在其他节点重拉起，表现为“虚拟机重启”。概率估计 ~60%
② **虚拟机-005 虚拟机重启失败**
   判断依据：若语境是用户主动执行了重启操作但未生效、报错或卡住，则属于重启任务执行层面的故障。概率估计 ~30%
③ 以上都不是（请补充症状描述）
请回复 ① ② 或 ③ 完成确认。</t>
        </is>
      </c>
    </row>
    <row r="60">
      <c r="A60" t="inlineStr">
        <is>
          <t>Q2026050600921</t>
        </is>
      </c>
      <c r="B60" t="inlineStr">
        <is>
          <t>HCI</t>
        </is>
      </c>
      <c r="C60" t="inlineStr">
        <is>
          <t>HCI6.9.1</t>
        </is>
      </c>
      <c r="D60" t="inlineStr">
        <is>
          <t>单台虚拟机显示挂载磁盘报错，无法开机</t>
        </is>
      </c>
      <c r="E60" t="inlineStr">
        <is>
          <t>虚拟机</t>
        </is>
      </c>
      <c r="F60" t="inlineStr">
        <is>
          <t>虚拟机开关机</t>
        </is>
      </c>
      <c r="G60" t="inlineStr">
        <is>
          <t>根据客户描述“单台虚拟机显示挂载磁盘报错，无法开机”，问题核心在于虚拟机启动阶段因磁盘挂载失败导致开机异常，符合虚拟机生命周期管理中的启动失败场景。
您的问题可能属于以下故障之一，请确认：
① 虚拟机-003 虚拟机开机失败
   判断依据：客户明确指出“无法开机”，且报错信息指向“挂载磁盘报错”，符合虚拟机启动链路中存储挂载环节失败导致的开机故障特征，概率估计 ~90%
② 存储-019 虚拟存储状态异常
   判断依据：若磁盘挂载报错是因为底层虚拟存储整体离线或服务异常导致，但客户仅看到单台虚拟机报错，此为次选可能，概率估计 ~10%
③ 以上都不是（请补充症状描述）
请回复 ① ② 或 ③ 完成确认。</t>
        </is>
      </c>
    </row>
    <row r="61">
      <c r="A61" t="inlineStr">
        <is>
          <t>Q2026050500107</t>
        </is>
      </c>
      <c r="B61" t="inlineStr">
        <is>
          <t>HCI</t>
        </is>
      </c>
      <c r="C61" t="inlineStr">
        <is>
          <t>HCI6.10.0_R2</t>
        </is>
      </c>
      <c r="D61" t="inlineStr">
        <is>
          <t>虚拟机无法开机；两主机有台主机离线了</t>
        </is>
      </c>
      <c r="E61" t="inlineStr">
        <is>
          <t>虚拟机</t>
        </is>
      </c>
      <c r="F61" t="inlineStr">
        <is>
          <t>虚拟机开关机</t>
        </is>
      </c>
      <c r="G61" t="inlineStr">
        <is>
          <t>根据您提供的「虚拟机无法开机」以及「两主机有台主机离线」的信息，系统存在底层基础设施故障导致业务受影响的特征。主机离线往往是虚拟机无法开机的直接原因（如资源不足、存储不可用或HA未生效）。
请确认以下最可能的故障分类：
① **平台-005 主机离线或异常重启**
   判断依据：客户明确描述“两主机有台主机离线了”，这是导致虚拟机无法开机的底层关键故障，概率估计 ~60%
② **虚拟机-003 虚拟机开机失败**
   判断依据：客户核心诉求为“虚拟机无法开机”，需排查是否因主机离线导致资源不足或HA机制未正常触发，概率估计 ~40%
③ 以上都不是（请补充症状描述）
请回复 ① ② 或 ③ 完成确认。</t>
        </is>
      </c>
    </row>
    <row r="62">
      <c r="A62" t="inlineStr">
        <is>
          <t>Q2026050500017</t>
        </is>
      </c>
      <c r="B62" t="inlineStr">
        <is>
          <t>HCI</t>
        </is>
      </c>
      <c r="C62" t="inlineStr">
        <is>
          <t>6.3.0_R2</t>
        </is>
      </c>
      <c r="D62" t="inlineStr">
        <is>
          <t>pacs虚拟机重启之后进不去系统，进入到引导模式了，反馈影响业务</t>
        </is>
      </c>
      <c r="E62" t="inlineStr">
        <is>
          <t>虚拟机</t>
        </is>
      </c>
      <c r="F62" t="inlineStr">
        <is>
          <t>虚拟机开关机</t>
        </is>
      </c>
      <c r="G62" t="inlineStr">
        <is>
          <t>根据 [虚拟机停留在引导模式且无法进入系统] 的特征分析，您的问题可能属于以下故障之一，请确认：
① 虚拟机-043 虚拟机内部软件使用异常
   判断依据：客户描述“进入到引导模式”，通常指系统停留在 GRUB 引导界面或单用户模式，说明虚拟机平台层面已启动成功，但操作系统引导配置或内核文件异常，属于 Guest OS 内部软件/配置问题。概率估计 ~70%
② 虚拟机-003 虚拟机开机失败
   判断依据：客户描述“重启之后进不去系统”，这是最直观的业务故障现象，若需排查是否涉及平台层面启动任务报错或资源分配问题，可先按此类进行标准排查。概率估计 ~25%
③ 以上都不是（请补充症状描述）
请回复 ① ② 或 ③ 完成确认。</t>
        </is>
      </c>
    </row>
    <row r="63">
      <c r="A63" t="inlineStr">
        <is>
          <t>Q2026050400111</t>
        </is>
      </c>
      <c r="B63" t="inlineStr">
        <is>
          <t>HCI</t>
        </is>
      </c>
      <c r="C63" t="inlineStr">
        <is>
          <t>HCI6.11.1</t>
        </is>
      </c>
      <c r="D63">
        <f>===海外工单信息====
    海外工单ID：20260504860046
    事件等级：Priority1
    产品线：HCI::6.11.1
====工单信息====
【事件编号】Ticket#20260504860046
【上升工单】
【版本信息】6.11.1
【问题描述】虚拟机开机进入UEFI SHEll界面无法进入系统
【业务影响】客户核心业务虚拟机web托管业务
【当前进展】
1）修改虚拟机启动项到Seabios会卡在从磁盘启动，无法找到磁盘[图片]2）UEFI修复启动项，无法找到grabX64的启动文件[图片][图片]2）检查虚拟机镜像正常，只一个40G的磁盘[图片]3)尝试恢复昨天5.3日的备份，发现启动也是在这个界面[图片]4）当前环境里面没有centos7.9的ISO正在下载</f>
        <v/>
      </c>
      <c r="E63" t="inlineStr">
        <is>
          <t>虚拟机</t>
        </is>
      </c>
      <c r="F63" t="inlineStr">
        <is>
          <t>虚拟机开关机</t>
        </is>
      </c>
      <c r="G63" t="inlineStr">
        <is>
          <t>根据客户描述为 'nan'（无有效信息），无法提取关键实体或错误模式。为了进行下一步排查，提供最通用的故障域分类供您确认：
① 虚拟机-L1 虚拟机
   判断依据：HCI 平台中虚拟机相关故障最为高频，若无具体信息，可优先排查虚拟机域。概率估计 ~30%
② 平台-L1 平台
   判断依据：涉及主机状态、集群管理或系统级服务的异常归入此类。概率估计 ~20%
③ 以上都不是（请补充症状描述）
请回复 ① ② 或 ③ 完成确认。</t>
        </is>
      </c>
    </row>
    <row r="64">
      <c r="A64" t="inlineStr">
        <is>
          <t>Q2026050300080</t>
        </is>
      </c>
      <c r="B64" t="inlineStr">
        <is>
          <t>HCI</t>
        </is>
      </c>
      <c r="C64" t="inlineStr">
        <is>
          <t>6.8.0</t>
        </is>
      </c>
      <c r="D64" t="inlineStr">
        <is>
          <t>一台服务器无法开机，部分虚拟机起不来（具体需要进外部群沟通）</t>
        </is>
      </c>
      <c r="E64" t="inlineStr">
        <is>
          <t>虚拟机</t>
        </is>
      </c>
      <c r="F64" t="inlineStr">
        <is>
          <t>虚拟机开关机</t>
        </is>
      </c>
      <c r="G64" t="inlineStr">
        <is>
          <t>根据您提供的“一台服务器无法开机，部分虚拟机起不来”的描述，问题核心集中在物理服务器状态异常，导致依托于该服务器的计算资源不可用，进而引发虚拟机无法启动。
您的问题可能属于以下故障之一，请确认：
① **硬件-L2-服务器整机**
   判断依据：客户明确描述“一台服务器无法开机”，直接指向物理服务器的整机硬件状态异常（如电源、主板故障导致无法加电），概率估计 ~70%
② **平台-005 主机离线或异常重启**
   判断依据：若服务器硬件指示灯正常但平台显示离线，可能是主机系统崩溃或异常重启导致在平台层面显示为“无法开机/离线”，进而导致虚拟机起不来，概率估计 ~25%
③ 以上都不是（请补充症状描述）
请回复 ① ② 或 ③ 完成确认。</t>
        </is>
      </c>
    </row>
    <row r="65">
      <c r="A65" t="inlineStr">
        <is>
          <t>Q2026050300043</t>
        </is>
      </c>
      <c r="B65" t="inlineStr">
        <is>
          <t>HCI</t>
        </is>
      </c>
      <c r="C65" t="inlineStr">
        <is>
          <t>6.3.0_R2</t>
        </is>
      </c>
      <c r="D65" t="inlineStr">
        <is>
          <t>Linux虚拟机重启后进救援模式</t>
        </is>
      </c>
      <c r="E65" t="inlineStr">
        <is>
          <t>虚拟机</t>
        </is>
      </c>
      <c r="F65" t="inlineStr">
        <is>
          <t>虚拟机开关机</t>
        </is>
      </c>
      <c r="G65" t="inlineStr">
        <is>
          <t>根据用户描述“Linux虚拟机重启后进救援模式”，该现象通常指示操作系统内部引导文件损坏、文件系统错误或磁盘挂载异常，属于虚拟机内部系统层面的问题。问题可能属于以下故障分类，请确认：
① 虚拟机-044 虚拟机内部空间或文件系统异常
   判断依据：Linux系统进入救援模式通常是因为文件系统损坏、磁盘空间满或关键配置文件丢失，符合“内部空间或文件系统异常”特征，概率估计 ~85%
② 虚拟机-003 虚拟机开机失败
   判断依据：部分用户可能将操作系统无法正常引导进入业务界面（卡在救援模式）笼统描述为开机失败，概率估计 ~15%
③ 以上都不是（请补充症状描述）
请回复 ① ② 或 ③ 完成确认。</t>
        </is>
      </c>
    </row>
    <row r="66">
      <c r="A66" t="inlineStr">
        <is>
          <t>Q2026050200039</t>
        </is>
      </c>
      <c r="B66" t="inlineStr">
        <is>
          <t>HCI</t>
        </is>
      </c>
      <c r="C66" t="inlineStr">
        <is>
          <t>HCI6.8.0_R1</t>
        </is>
      </c>
      <c r="D66" t="inlineStr">
        <is>
          <t>虚拟机无法开机，主机详情里看不到CPU内存信息</t>
        </is>
      </c>
      <c r="E66" t="inlineStr">
        <is>
          <t>虚拟机</t>
        </is>
      </c>
      <c r="F66" t="inlineStr">
        <is>
          <t>虚拟机开关机</t>
        </is>
      </c>
      <c r="G66" t="inlineStr">
        <is>
          <t>根据您提供的故障现象“虚拟机无法开机”以及伴随的“主机详情里看不到CPU内存信息”，这表明可能存在主机层面的状态异常导致虚拟机无法调度或启动。
您的故障可能属于以下分类之一，请确认：
① **虚拟机-003 虚拟机开机失败**
   判断依据：客户直接描述“虚拟机无法开机”，这是业务层面的直接故障现象。主机信息缺失可能导致资源调度失败从而引发开机失败。概率估计 ~60%
② **平台-005 主机离线或异常重启**
   判断依据：客户提到“主机详情里看不到CPU内存信息”，这通常是主机Agent异常、主机离线或状态异常的典型表现。主机状态异常往往是虚拟机无法开机的根本原因。概率估计 ~35%
③ 以上都不是（请补充症状描述）
请回复 ①、② 或 ③ 完成确认。</t>
        </is>
      </c>
    </row>
    <row r="67">
      <c r="A67" t="inlineStr">
        <is>
          <t>Q2026050100208</t>
        </is>
      </c>
      <c r="B67" t="inlineStr">
        <is>
          <t>HCI</t>
        </is>
      </c>
      <c r="C67" t="inlineStr">
        <is>
          <t>6.10.0_R2</t>
        </is>
      </c>
      <c r="D67" t="inlineStr">
        <is>
          <t>虚拟机无法以大页内存启动</t>
        </is>
      </c>
      <c r="E67" t="inlineStr">
        <is>
          <t>虚拟机</t>
        </is>
      </c>
      <c r="F67" t="inlineStr">
        <is>
          <t>虚拟机开关机</t>
        </is>
      </c>
      <c r="G67" t="inlineStr">
        <is>
          <t>根据您的描述“虚拟机无法以大页内存启动”，核心故障表现为虚拟机启动过程受阻。
您的故障可能属于以下分类，请确认：
① 虚拟机-003 虚拟机开机失败
   判断依据：用户明确描述“无法...启动”，大页内存属于启动时的资源分配请求，启动受阻即归类为开机失败，概率估计 ~90%
② 以上都不是（请补充症状描述）
请回复 ① 或 ② 完成确认。</t>
        </is>
      </c>
    </row>
    <row r="68">
      <c r="A68" t="inlineStr">
        <is>
          <t>Q2026050100197</t>
        </is>
      </c>
      <c r="B68" t="inlineStr">
        <is>
          <t>HCI</t>
        </is>
      </c>
      <c r="C68" t="inlineStr">
        <is>
          <t>6.11.1_R1</t>
        </is>
      </c>
      <c r="D68" t="inlineStr">
        <is>
          <t>HCI的centos虚拟机调整了CPU的配置后开机无法启动了协助处理</t>
        </is>
      </c>
      <c r="E68" t="inlineStr">
        <is>
          <t>虚拟机</t>
        </is>
      </c>
      <c r="F68" t="inlineStr">
        <is>
          <t>虚拟机开关机</t>
        </is>
      </c>
      <c r="G68" t="inlineStr">
        <is>
          <t>根据您的描述“虚拟机调整CPU配置后无法启动”，这属于典型的虚拟机生命周期管理问题，请确认故障分类：
① 虚拟机-003 虚拟机开机失败
   判断依据：用户明确描述“开机无法启动”，且故障发生在“调整CPU配置”这一变更操作之后，符合虚拟机开机失败场景，概率估计 ~95%
② 以上都不是（请补充症状描述）
请回复 ① 或 ② 完成确认。</t>
        </is>
      </c>
    </row>
    <row r="69">
      <c r="A69" t="inlineStr">
        <is>
          <t>Q2026050100083</t>
        </is>
      </c>
      <c r="B69" t="inlineStr">
        <is>
          <t>HCI</t>
        </is>
      </c>
      <c r="C69" t="inlineStr">
        <is>
          <t>6.7.0_R3</t>
        </is>
      </c>
      <c r="D69" t="inlineStr">
        <is>
          <t>HCI启动虚拟机失败错误信息虚拟机镜像忙正在执行其他操作
虚拟机挂起 存储正常</t>
        </is>
      </c>
      <c r="E69" t="inlineStr">
        <is>
          <t>虚拟机</t>
        </is>
      </c>
      <c r="F69" t="inlineStr">
        <is>
          <t>虚拟机开关机</t>
        </is>
      </c>
      <c r="G69" t="inlineStr">
        <is>
          <t>根据客户描述“启动虚拟机失败”、“错误信息虚拟机镜像忙正在执行其他操作”以及“虚拟机挂起”，问题指向虚拟机电源操作受阻。
您的问题可能属于以下故障之一，请确认：
① 虚拟机-003 虚拟机开机失败
   判断依据：客户明确描述“HCI启动虚拟机失败”，报错“镜像忙”直接导致开机操作无法执行，符合开机失败的特征，概率估计 ~60%
② 虚拟机-009 虚拟机异常挂起
   判断依据：客户指出虚拟机当前状态为“挂起”，且报错“正在执行其他操作”，这通常意味着虚拟机卡在挂起任务中或锁文件未释放，属于异常挂起状态，导致后续开机失败，概率估计 ~35%
③ 以上都不是（请补充症状描述）
请回复 ① ② 或 ③ 完成确认。</t>
        </is>
      </c>
    </row>
    <row r="70">
      <c r="A70" t="inlineStr">
        <is>
          <t>Q2026043000887</t>
        </is>
      </c>
      <c r="B70" t="inlineStr">
        <is>
          <t>HCI</t>
        </is>
      </c>
      <c r="C70" t="inlineStr">
        <is>
          <t>HCI5.8.6</t>
        </is>
      </c>
      <c r="D70" t="inlineStr">
        <is>
          <t>反馈生产业务的虚拟机无法开机，资源是足够的</t>
        </is>
      </c>
      <c r="E70" t="inlineStr">
        <is>
          <t>虚拟机</t>
        </is>
      </c>
      <c r="F70" t="inlineStr">
        <is>
          <t>虚拟机开关机</t>
        </is>
      </c>
      <c r="G70" t="inlineStr">
        <is>
          <t>根据用户描述“生产业务的虚拟机无法开机”且明确“资源是足够的”，故障现象明确指向虚拟机生命周期管理中的启动环节。由于已排除资源不足这一常见原因，初步定位为虚拟机开机失败类问题。
您的问题可能属于以下故障之一，请确认：
① **虚拟机-003 虚拟机开机失败**
   判断依据：客户明确描述“虚拟机无法开机”，符合该分类定义，概率估计 ~98%
③ 以上都不是（请补充症状描述）
请回复 ① 或 ③ 完成确认。</t>
        </is>
      </c>
    </row>
    <row r="71">
      <c r="A71" t="inlineStr">
        <is>
          <t>Q2026043000725</t>
        </is>
      </c>
      <c r="B71" t="inlineStr">
        <is>
          <t>HCI</t>
        </is>
      </c>
      <c r="C71" t="inlineStr">
        <is>
          <t>6.10.0_R2</t>
        </is>
      </c>
      <c r="D71" t="inlineStr">
        <is>
          <t>【服务升级】：服务商通过数字化服务平台发起服务升级，请尽快联系服务商处理！&lt;br&gt;【工单描述】：重启虚拟机系统失败，描述：虚拟机内部关机失败，确认一下具体什么问题</t>
        </is>
      </c>
      <c r="E71" t="inlineStr">
        <is>
          <t>虚拟机</t>
        </is>
      </c>
      <c r="F71" t="inlineStr">
        <is>
          <t>虚拟机开关机</t>
        </is>
      </c>
      <c r="G71" t="inlineStr">
        <is>
          <t>根据工单描述中“重启虚拟机系统失败”以及详细原因“虚拟机内部关机失败”，故障发生在虚拟机生命周期管理的关机阶段，导致后续重启流程无法完成。此场景主要涉及“重启任务失败”与“关机步骤异常”两个维度的分类：
① 虚拟机-005 虚拟机重启失败
   判断依据：工单主描述明确指出“重启虚拟机系统失败”，表明用户执行的操作意图及最终失败结果，概率估计 ~50%
② 虚拟机-004 虚拟机关机失败
   判断依据：详细描述中明确指出“虚拟机内部关机失败”，这是导致重启任务失败的直接根本原因（可能是Guest OS无响应或VMTools异常），概率估计 ~45%
③ 以上都不是（请补充症状描述）
请回复 ① ② 或 ③ 完成确认。</t>
        </is>
      </c>
    </row>
    <row r="72">
      <c r="A72" t="inlineStr">
        <is>
          <t>Q2026043000600</t>
        </is>
      </c>
      <c r="B72" t="inlineStr">
        <is>
          <t>HCI</t>
        </is>
      </c>
      <c r="C72" t="inlineStr"/>
      <c r="D72" t="inlineStr">
        <is>
          <t>1.检测到虚拟机监控中心1, 应用交付1, 下一代防火墙1_10.1.40.17-8026备份__59aad7e713, 防火墙10.1.40.27-8095__b69acac88c, 下一代防火墙2_10.1.40.27_8026备份__c5a0a174dc, SSLM7.5_20171011, 防火墙10.1.40.17-8095__dd64cb15c7, NFV_vAF_8.0.26_20200929_CSSP, AF8.0.8_20190720, Mac中存在磁盘id为virtio格式，会导致虚拟机磁盘配置丢失，虚拟机重新启动时磁盘无法找到，影响业务，参考KB链接：https://support.sangfor.com.cn/cases/list?product_id=33&amp;type=1&amp;category_id=19212&amp;isOpen=true 进行处理。
，需要2线后台帮忙处置</t>
        </is>
      </c>
      <c r="E72" t="inlineStr">
        <is>
          <t>虚拟机</t>
        </is>
      </c>
      <c r="F72" t="inlineStr">
        <is>
          <t>虚拟机开关机</t>
        </is>
      </c>
      <c r="G72" t="inlineStr">
        <is>
          <t>根据客户描述中提到的“虚拟机磁盘配置丢失”以及“虚拟机重新启动时磁盘无法找到，影响业务”，核心问题指向虚拟机启动过程中因配置缺失导致的故障。
您的问题可能属于以下故障之一，请确认：
① **虚拟机-003 虚拟机开机失败**
   判断依据：描述明确指出“虚拟机重新启动时磁盘无法找到”，这是典型的开机阶段因磁盘配置缺失导致的启动失败，概率估计 ~80%
② **虚拟机-048 虚拟机数据丢失**
   判断依据：描述中提到“虚拟机磁盘配置丢失”，虽然数据可能仍在存储中，但从虚拟机视角看表现为数据（磁盘）不可见或丢失，概率估计 ~15%
③ 以上都不是（请补充症状描述）
请回复 ① ② 或 ③ 完成确认。</t>
        </is>
      </c>
    </row>
    <row r="73">
      <c r="A73" t="inlineStr">
        <is>
          <t>Q2026043000560</t>
        </is>
      </c>
      <c r="B73" t="inlineStr">
        <is>
          <t>HCI</t>
        </is>
      </c>
      <c r="C73" t="inlineStr">
        <is>
          <t>HCI6.3.0_R1</t>
        </is>
      </c>
      <c r="D73" t="inlineStr">
        <is>
          <t>虚拟机无法开机</t>
        </is>
      </c>
      <c r="E73" t="inlineStr">
        <is>
          <t>虚拟机</t>
        </is>
      </c>
      <c r="F73" t="inlineStr">
        <is>
          <t>虚拟机开关机</t>
        </is>
      </c>
      <c r="G73" t="inlineStr">
        <is>
          <t>根据您的描述“虚拟机无法开机”，该问题直接指向虚拟机启动操作失败，请确认：
① 虚拟机-003 虚拟机开机失败
   判断依据：客户描述明确为“虚拟机无法开机”，精准匹配虚拟机启动操作失败的故障分类，概率估计 ~99%
③ 以上都不是（请补充症状描述）
请回复 ① 或 ③ 完成确认。</t>
        </is>
      </c>
    </row>
    <row r="74">
      <c r="A74" t="inlineStr">
        <is>
          <t>Q2026043000347</t>
        </is>
      </c>
      <c r="B74" t="inlineStr">
        <is>
          <t>HCI</t>
        </is>
      </c>
      <c r="C74" t="inlineStr"/>
      <c r="D74" t="inlineStr">
        <is>
          <t>C86架构HCI，centos虚拟机勾选hostcpu取消后进不去系统需要协助处理</t>
        </is>
      </c>
      <c r="E74" t="inlineStr">
        <is>
          <t>虚拟机</t>
        </is>
      </c>
      <c r="F74" t="inlineStr">
        <is>
          <t>虚拟机开关机</t>
        </is>
      </c>
      <c r="G74" t="inlineStr"/>
    </row>
    <row r="75">
      <c r="A75" t="inlineStr">
        <is>
          <t>Q2026043000180</t>
        </is>
      </c>
      <c r="B75" t="inlineStr">
        <is>
          <t>HCI</t>
        </is>
      </c>
      <c r="C75" t="inlineStr">
        <is>
          <t>HCI6.11.1</t>
        </is>
      </c>
      <c r="D75" t="inlineStr">
        <is>
          <t>hci上安装scp虚拟机后打不开，web界面访问不了</t>
        </is>
      </c>
      <c r="E75" t="inlineStr">
        <is>
          <t>虚拟机</t>
        </is>
      </c>
      <c r="F75" t="inlineStr">
        <is>
          <t>虚拟机开关机</t>
        </is>
      </c>
      <c r="G75" t="inlineStr">
        <is>
          <t>根据您提供的工单描述“hci上安装scp虚拟机后打不开，web界面访问不了”，其中“打不开”通常指向虚拟机电源状态异常（开机失败），而“web界面访问不了”可能是虚拟机未成功启动的后果。但也存在虚拟机运行中但网络不通的可能性。
请您确认以下最匹配的故障分类：
① **虚拟机-003 虚拟机开机失败**
   判断依据：描述中明确提到虚拟机“打不开”，通常对应虚拟机无法正常加电启动或启动过程中报错，导致业务无法访问。概率估计 ~70%
② **虚拟机-049 虚拟机网络丢包或不通**
   判断依据：如果虚拟机控制台显示为“运行中”状态，但“web界面访问不了”，则可能是虚拟机网络配置异常或网络连通性问题。概率估计 ~25%
③ 以上都不是（请补充症状描述）
请回复 ① ② 或 ③ 完成确认。</t>
        </is>
      </c>
    </row>
    <row r="76">
      <c r="A76" t="inlineStr">
        <is>
          <t>Q2026043000062</t>
        </is>
      </c>
      <c r="B76" t="inlineStr">
        <is>
          <t>HCI</t>
        </is>
      </c>
      <c r="C76" t="inlineStr"/>
      <c r="D76" t="inlineStr">
        <is>
          <t xml:space="preserve">一、hci，凌晨出现，平台出现报错，虚拟机起不来,提示磁盘损坏。
二、hci，报过节点之间的通讯问题。
</t>
        </is>
      </c>
      <c r="E76" t="inlineStr">
        <is>
          <t>虚拟机</t>
        </is>
      </c>
      <c r="F76" t="inlineStr">
        <is>
          <t>虚拟机开关机</t>
        </is>
      </c>
      <c r="G76" t="inlineStr">
        <is>
          <t>根据您提供的故障现象，故障核心指向存储层面的数据完整性或集群状态问题，导致虚拟机无法启动。
分析如下：
1.  **关键实体与错误**：虚拟机无法启动（业务影响），平台报错提示“磁盘损坏”（直接原因）。
2.  **关联现象**：节点间通讯问题（可能是诱因，导致脑裂或集群分裂；也可能是结果）。
3.  **推理逻辑**：“磁盘损坏”提示存储层出现坏道、文件系统异常或数据副本失效；“节点通讯问题”结合虚拟机无法启动，高度疑似因网络分区导致存储脑裂或数据副本不一致，进而被平台判定为磁盘/数据损坏。
请确认以下分类：
① 存储-017 磁盘服务异常
   判断依据：用户明确描述“虚拟机起不来，提示磁盘损坏”，直接指向磁盘硬件故障或存储服务异常，概率估计 ~60%
② 存储-009 数据副本失控或脑裂
   判断依据：用户提及“节点之间的通讯问题”，这常导致存储集群脑裂，进而引发数据锁死或损坏，导致虚拟机无法启动，概率估计 ~35%
③ 以上都不是（请补充症状描述）
请回复 ① ② 或 ③ 完成确认。</t>
        </is>
      </c>
    </row>
    <row r="77">
      <c r="A77" t="inlineStr">
        <is>
          <t>Q2026043000019</t>
        </is>
      </c>
      <c r="B77" t="inlineStr">
        <is>
          <t>HCI</t>
        </is>
      </c>
      <c r="C77" t="inlineStr"/>
      <c r="D77" t="inlineStr">
        <is>
          <t>搬迁机房后虚拟机起不来，</t>
        </is>
      </c>
      <c r="E77" t="inlineStr">
        <is>
          <t>虚拟机</t>
        </is>
      </c>
      <c r="F77" t="inlineStr">
        <is>
          <t>虚拟机开关机</t>
        </is>
      </c>
      <c r="G77" t="inlineStr">
        <is>
          <t>根据用户描述“搬迁机房后虚拟机起不来”，核心故障现象为虚拟机无法正常启动。搬迁操作可能涉及物理连接、存储状态、网络配置或授权变更，但最直接的表现为虚拟机开机动作失败。
依据故障分类基准，匹配结果如下：
① **虚拟机-003 虚拟机开机失败**
   判断依据：客户明确描述“虚拟机起不来”，符合虚拟机开机失败的定义。搬迁后的环境变化（如存储链路中断、授权变动、网络不通）常导致此现象，概率估计 ~95%
③ 以上都不是（请补充症状描述）
请回复 ① 或 ③ 完成确认。</t>
        </is>
      </c>
    </row>
    <row r="78">
      <c r="A78" t="inlineStr">
        <is>
          <t>Q2026042901547</t>
        </is>
      </c>
      <c r="B78" t="inlineStr">
        <is>
          <t>HCI</t>
        </is>
      </c>
      <c r="C78" t="inlineStr">
        <is>
          <t>HCI6.11.1_R1</t>
        </is>
      </c>
      <c r="D78" t="inlineStr">
        <is>
          <t>【服务升级】：服务商通过数字化服务平台发起服务升级，请尽快联系服务商处理！&amp;lt;br&amp;gt;【工单描述】：创建Win11虚拟机，客户反馈打开系统很慢</t>
        </is>
      </c>
      <c r="E78" t="inlineStr">
        <is>
          <t>虚拟机</t>
        </is>
      </c>
      <c r="F78" t="inlineStr">
        <is>
          <t>虚拟机开关机</t>
        </is>
      </c>
      <c r="G78" t="inlineStr">
        <is>
          <t>根据客户描述“创建Win11虚拟机，客户反馈打开系统很慢”，其中“打开系统”通常指代虚拟机操作系统的启动或控制台访问过程。Win11 对资源要求较高，启动慢或运行卡顿属于典型的虚拟机性能/体验问题。
您的问题可能属于以下故障分类，请确认：
① 虚拟机-036 虚拟机整体卡慢
   判断依据：客户反馈“打开系统很慢”，指代虚拟机操作系统启动或响应迟缓，属于虚拟机整体性能问题范畴。Win11 虚拟机常因资源配置不足（如 CPU/内存/磁盘 IO）导致此类症状，概率估计 ~85%
② 以上都不是（请补充症状描述）
请回复 ① 或 ② 完成确认。</t>
        </is>
      </c>
    </row>
    <row r="79">
      <c r="A79" t="inlineStr">
        <is>
          <t>Q2026042901377</t>
        </is>
      </c>
      <c r="B79" t="inlineStr">
        <is>
          <t>HCI</t>
        </is>
      </c>
      <c r="C79" t="inlineStr">
        <is>
          <t>5.8.6</t>
        </is>
      </c>
      <c r="D79" t="inlineStr">
        <is>
          <t>虚拟机开机失败</t>
        </is>
      </c>
      <c r="E79" t="inlineStr">
        <is>
          <t>虚拟机</t>
        </is>
      </c>
      <c r="F79" t="inlineStr">
        <is>
          <t>虚拟机开关机</t>
        </is>
      </c>
      <c r="G79" t="inlineStr">
        <is>
          <t>根据客户描述与故障分类基准的直接匹配度，您的问题可能属于以下故障之一，请确认：
① 虚拟机-003 虚拟机开机失败
   判断依据：客户描述“虚拟机开机失败”与该分类名称完全一致，直接命中故障定义，概率估计 ~99%
③ 以上都不是（请补充症状描述）
请回复 ① 或 ③ 完成确认。</t>
        </is>
      </c>
    </row>
    <row r="80">
      <c r="A80" t="inlineStr">
        <is>
          <t>Q2026042901355</t>
        </is>
      </c>
      <c r="B80" t="inlineStr">
        <is>
          <t>HCI</t>
        </is>
      </c>
      <c r="C80" t="inlineStr"/>
      <c r="D80" t="inlineStr">
        <is>
          <t>hci，一台虚拟机异常重启，客户这边没有重启，需要确认什么原因重启</t>
        </is>
      </c>
      <c r="E80" t="inlineStr">
        <is>
          <t>虚拟机</t>
        </is>
      </c>
      <c r="F80" t="inlineStr">
        <is>
          <t>虚拟机开关机</t>
        </is>
      </c>
      <c r="G80" t="inlineStr">
        <is>
          <t>根据客户描述“一台虚拟机异常重启，非人为操作”，该现象通常属于虚拟机高可用机制触发或底层物理主机故障导致。结合故障分类基准，最可能的分类如下：
① 虚拟机-033 虚拟机异常HA
   判断依据：客户明确表示“没有重启”但虚拟机发生了重启，符合虚拟机HA（高可用）机制被触发的特征（如主机心跳丢失、存储中断等导致虚拟机在原主机或跨主机重启），概率估计 ~70%
② 平台-005 主机离线或异常重启
   判断依据：虚拟机异常重启的常见底层原因是物理主机发生了异常重启或短暂离线，导致承载的虚拟机业务中断或触发HA重启，概率估计 ~25%
③ 以上都不是（请补充症状描述）
请回复 ① ② 或 ③ 完成确认。</t>
        </is>
      </c>
    </row>
    <row r="81">
      <c r="A81" t="inlineStr">
        <is>
          <t>Q2026042901277</t>
        </is>
      </c>
      <c r="B81" t="inlineStr">
        <is>
          <t>HCI</t>
        </is>
      </c>
      <c r="C81" t="inlineStr">
        <is>
          <t>HCI6.11.1_R1</t>
        </is>
      </c>
      <c r="D81" t="inlineStr">
        <is>
          <t>单主机集群，虚拟机无法开机需要协助处理</t>
        </is>
      </c>
      <c r="E81" t="inlineStr">
        <is>
          <t>虚拟机</t>
        </is>
      </c>
      <c r="F81" t="inlineStr">
        <is>
          <t>虚拟机开关机</t>
        </is>
      </c>
      <c r="G81" t="inlineStr">
        <is>
          <t>根据 [客户描述：虚拟机无法开机]，您的问题可能属于以下故障之一，请确认：
① 虚拟机-003 虚拟机开机失败
   判断依据：客户描述明确指出“虚拟机无法开机”，直接对应虚拟机生命周期管理中的启动操作失败场景。概率估计 ~95%
③ 以上都不是（请补充症状描述）
请回复 ① 或 ③ 完成确认。</t>
        </is>
      </c>
    </row>
    <row r="82">
      <c r="A82" t="inlineStr">
        <is>
          <t>Q2026042901122</t>
        </is>
      </c>
      <c r="B82" t="inlineStr">
        <is>
          <t>HCI</t>
        </is>
      </c>
      <c r="C82" t="inlineStr">
        <is>
          <t>HCI6.10.0_R2</t>
        </is>
      </c>
      <c r="D82" t="inlineStr">
        <is>
          <t>虚拟机使用VF网卡开机失败协助处理</t>
        </is>
      </c>
      <c r="E82" t="inlineStr">
        <is>
          <t>虚拟机</t>
        </is>
      </c>
      <c r="F82" t="inlineStr">
        <is>
          <t>虚拟机开关机</t>
        </is>
      </c>
      <c r="G82" t="inlineStr">
        <is>
          <t>根据用户描述中明确提到的“虚拟机”及“开机失败”关键词，结合VF网卡（SR-IOV直通）通常涉及的硬件资源分配或驱动兼容性问题，该问题最符合虚拟机生命周期管理中的开机失败场景。
请您确认以下故障分类：
① **虚拟机-003 虚拟机开机失败**
   判断依据：用户直接描述“虚拟机使用VF网卡开机失败”，明确了故障对象为虚拟机，故障现象为开机失败。VF网卡相关的SR-IOV配置问题（如宿主机VF资源不足、驱动不兼容等）是导致此类开机失败的常见原因。概率估计 ~95%
③ 以上都不是（请补充症状描述）
请回复 ① 或 ③ 完成确认。</t>
        </is>
      </c>
    </row>
    <row r="83">
      <c r="A83" t="inlineStr">
        <is>
          <t>Q2026042901053</t>
        </is>
      </c>
      <c r="B83" t="inlineStr">
        <is>
          <t>HCI</t>
        </is>
      </c>
      <c r="C83" t="inlineStr">
        <is>
          <t>6.11.1R1</t>
        </is>
      </c>
      <c r="D83" t="inlineStr">
        <is>
          <t>昨天晚上切电原因，晚上虚拟机重启了，物理机掉线，协助查看底层日志什么原因导致的，早上有业务没起来。</t>
        </is>
      </c>
      <c r="E83" t="inlineStr">
        <is>
          <t>虚拟机</t>
        </is>
      </c>
      <c r="F83" t="inlineStr">
        <is>
          <t>虚拟机开关机</t>
        </is>
      </c>
      <c r="G83" t="inlineStr">
        <is>
          <t>根据您提供的故障现象（切电导致物理机掉线、业务未恢复），问题可能属于以下故障之一，请确认：
① **平台-005 主机离线或异常重启**
   判断依据：客户明确描述“昨天晚上切电原因，物理机掉线”，需要排查主机层面的掉线原因及状态，概率估计 ~60%
② **虚拟机-003 虚拟机开机失败**
   判断依据：客户描述“早上有业务没起来”，且关联昨晚的重启事件，可能存在虚拟机未能随主机恢复而正常启动的情况，概率估计 ~30%
③ 以上都不是（请补充症状描述）
请回复 ① ② 或 ③ 完成确认。</t>
        </is>
      </c>
    </row>
    <row r="84">
      <c r="A84" t="inlineStr">
        <is>
          <t>Q2026042900702</t>
        </is>
      </c>
      <c r="B84" t="inlineStr">
        <is>
          <t>HCI</t>
        </is>
      </c>
      <c r="C84" t="inlineStr">
        <is>
          <t>6.11.1_R1</t>
        </is>
      </c>
      <c r="D84" t="inlineStr">
        <is>
          <t>反馈虚拟机开机的时候会提示一个错误；
AMDCPU</t>
        </is>
      </c>
      <c r="E84" t="inlineStr">
        <is>
          <t>虚拟机</t>
        </is>
      </c>
      <c r="F84" t="inlineStr">
        <is>
          <t>虚拟机开关机</t>
        </is>
      </c>
      <c r="G84" t="inlineStr">
        <is>
          <t>根据 [用户描述“虚拟机开机的时候会提示一个错误”]，您的问题可能属于以下故障之一，请确认：
① 虚拟机-003 虚拟机开机失败
   判断依据：用户明确反馈执行“虚拟机开机”操作时出现错误提示，符合虚拟机生命周期管理中的开机失败场景，概率估计 ~95%
③ 以上都不是（请补充症状描述）
请回复 ① 或 ③ 完成确认。</t>
        </is>
      </c>
    </row>
    <row r="85">
      <c r="A85" t="inlineStr">
        <is>
          <t>Q2026042900355</t>
        </is>
      </c>
      <c r="B85" t="inlineStr">
        <is>
          <t>HCI</t>
        </is>
      </c>
      <c r="C85" t="inlineStr"/>
      <c r="D85" t="inlineStr">
        <is>
          <t>反馈虚拟机重启后机械码变了</t>
        </is>
      </c>
      <c r="E85" t="inlineStr">
        <is>
          <t>虚拟机</t>
        </is>
      </c>
      <c r="F85" t="inlineStr">
        <is>
          <t>虚拟机开关机</t>
        </is>
      </c>
      <c r="G85" t="inlineStr">
        <is>
          <t>根据用户描述“虚拟机重启后机械码变了”，这通常涉及虚拟机硬件指纹变更导致内部授权软件失效的问题。
根据故障现象分析，您的问题可能属于以下故障之一，请确认：
① **虚拟机-043 虚拟机内部软件使用异常**
   判断依据：用户反馈的“机械码”通常指虚拟机内部业务软件（如加密狗、授权软件）绑定的硬件指纹。重启后机械码变更，直接导致内部软件授权失效或使用异常，概率估计 ~80%
② **虚拟机-L1 虚拟机**
   判断依据：若问题仅表现为硬件特征值变化，尚未确认对内部业务软件的影响，可归类为虚拟机通用问题（如UUID、MAC地址或CPUID变更），概率估计 ~15%
③ 以上都不是（请补充症状描述）
请回复 ① ② 或 ③ 完成确认。</t>
        </is>
      </c>
    </row>
    <row r="86">
      <c r="A86" t="inlineStr">
        <is>
          <t>Q2026042802019</t>
        </is>
      </c>
      <c r="B86" t="inlineStr">
        <is>
          <t>HCI</t>
        </is>
      </c>
      <c r="C86" t="inlineStr">
        <is>
          <t>HCI6.11.1</t>
        </is>
      </c>
      <c r="D86">
        <f>===海外工单信息====
    海外工单ID：20260428860096
    事件等级：Priority1
    产品线：HCI::6.11.1
====客户信息====
    客户ID：52
    客户MDM ID：b5b4503b2d688f68877f8694329bb3b8
    客户名称：DATA ALLIANCE SDN BHD【Malaysia】
    客户区域：Malaysia
    客户类型：
====工单信息====
一线负责人：林锦达Liam(17240
客服负责人：李超民 Lee Chiew Min (85200)
研发负责人：易涛(36002)
【事件编号】-
【版本信息】6.11.1
【CTI专家】xxxx
【问题描述】虚拟机开机失败
【业务影响】核心业务虚拟机无法开启
【当前进展】
1）查看日志发现该虚拟机镜像文件脑裂
2）使用 vsfire脚本修复后正常
3）目前业务已恢复，发现环境 2+1 但是仲裁节点未入卷内
4）此外还有一个虚拟机的磁盘镜像脑裂，但是目前正在运行业务 需要协调时间
【下一步计划】
- 需要研发协助查看根因</f>
        <v/>
      </c>
      <c r="E86" t="inlineStr">
        <is>
          <t>虚拟机</t>
        </is>
      </c>
      <c r="F86" t="inlineStr">
        <is>
          <t>虚拟机开关机</t>
        </is>
      </c>
      <c r="G86" t="inlineStr">
        <is>
          <t>根据 [客户描述内容为 'nan' 且无日志信息]，无法提取有效故障特征，暂归入通用排查范围，请确认：
① 平台-L1 平台
   判断依据：描述缺失，无法定位具体业务域，默认纳入平台基础排查范畴，概率估计 ~10%
③ 以上都不是（请补充症状描述）
请回复 ① 或 ③ 完成确认。</t>
        </is>
      </c>
    </row>
    <row r="87">
      <c r="A87" t="inlineStr">
        <is>
          <t>Q2026042801734</t>
        </is>
      </c>
      <c r="B87" t="inlineStr">
        <is>
          <t>HCI</t>
        </is>
      </c>
      <c r="C87" t="inlineStr"/>
      <c r="D87" t="inlineStr">
        <is>
          <t>hci 有些Windows 虚拟机，关机要关很久，在hci 平台点关机，提示关机失败。需要排查处理</t>
        </is>
      </c>
      <c r="E87" t="inlineStr">
        <is>
          <t>虚拟机</t>
        </is>
      </c>
      <c r="F87" t="inlineStr">
        <is>
          <t>虚拟机开关机</t>
        </is>
      </c>
      <c r="G87" t="inlineStr">
        <is>
          <t>根据用户描述中明确提到的“在 HCI 平台点关机，提示关机失败”，这是最直接的故障现象判定依据。
根据 [用户描述：Windows 虚拟机在平台操作关机提示失败]，您的问题可能属于以下故障之一，请确认：
① 虚拟机-004 虚拟机关机失败
   判断依据：用户明确指出“在hci平台点关机，提示关机失败”，直接对应虚拟机关机操作失败的故障定义。概率估计 ~99%
③ 以上都不是（请补充症状描述）
请回复 ① 或 ③ 完成确认。</t>
        </is>
      </c>
    </row>
    <row r="88">
      <c r="A88" t="inlineStr">
        <is>
          <t>Q2026042801690</t>
        </is>
      </c>
      <c r="B88" t="inlineStr">
        <is>
          <t>HCI</t>
        </is>
      </c>
      <c r="C88" t="inlineStr">
        <is>
          <t>6.10.0_R2</t>
        </is>
      </c>
      <c r="D88" t="inlineStr">
        <is>
          <t>hci里面部署了aes；异常断电后，aes虚拟机无法打开控制台
其他虚拟机都正常</t>
        </is>
      </c>
      <c r="E88" t="inlineStr">
        <is>
          <t>虚拟机</t>
        </is>
      </c>
      <c r="F88" t="inlineStr">
        <is>
          <t>虚拟机开关机</t>
        </is>
      </c>
      <c r="G88" t="inlineStr">
        <is>
          <t>根据客户描述“异常断电后，aes虚拟机无法打开控制台”且“其他虚拟机都正常”，分析可能涉及虚拟机运行状态异常或启动失败。请确认故障分类：
① 虚拟机-039 虚拟机卡死无响应
   判断依据：异常断电极易导致虚拟机进程僵死或状态文件不一致，表现为控制台无法连接或黑屏，符合“无法打开控制台”症状，概率估计 ~60%
② 虚拟机-003 虚拟机开机失败
   判断依据：若虚拟机当前处于关机状态，断电可能导致磁盘锁或配置损坏致使开机流程中断，用户尝试访问控制台时实际触发了开机失败，概率估计 ~30%
③ 以上都不是（请补充症状描述）
请回复 ① ② 或 ③ 完成确认。</t>
        </is>
      </c>
    </row>
    <row r="89">
      <c r="A89" t="inlineStr">
        <is>
          <t>Q2026042801072</t>
        </is>
      </c>
      <c r="B89" t="inlineStr">
        <is>
          <t>HCI</t>
        </is>
      </c>
      <c r="C89" t="inlineStr"/>
      <c r="D89" t="inlineStr">
        <is>
          <t>升级中出现winserver内部重启需要排查原因</t>
        </is>
      </c>
      <c r="E89" t="inlineStr">
        <is>
          <t>虚拟机</t>
        </is>
      </c>
      <c r="F89" t="inlineStr">
        <is>
          <t>虚拟机开关机</t>
        </is>
      </c>
      <c r="G89" t="inlineStr">
        <is>
          <t>根据客户描述“winserver内部重启”及发生在“升级中”的情境，虚拟机非管理员主动触发的内部重启通常由系统崩溃（蓝屏）或内部服务异常导致。请确认以下分类：
① 虚拟机-042 虚拟机内部蓝屏
   判断依据：Windows 虚拟机在升级（可能涉及驱动变更或兼容性调整）过程中发生非预期内部重启，最常见的底层原因为操作系统内核崩溃（BSOD），系统默认设置下蓝屏后会自动重启，概率估计 ~60%
② 虚拟机-043 虚拟机内部软件使用异常
   判断依据：若虚拟机内部配置了 Windows Update 或业务软件在升级过程中触发强制重启，属于操作系统内部软件行为异常，概率估计 ~30%
③ 以上都不是（请补充症状描述）
请回复 ① ② 或 ③ 完成确认。</t>
        </is>
      </c>
    </row>
    <row r="90">
      <c r="A90" t="inlineStr">
        <is>
          <t>Q2026042800884</t>
        </is>
      </c>
      <c r="B90" t="inlineStr">
        <is>
          <t>HCI</t>
        </is>
      </c>
      <c r="C90" t="inlineStr">
        <is>
          <t>6.9.1</t>
        </is>
      </c>
      <c r="D90" t="inlineStr">
        <is>
          <t>虚拟机先操作关机，后编辑磁盘改成预分配磁盘，当前任务关闭虚拟机进度不动，虚拟机提示正在生效配置，客户需要把关机任务结束掉</t>
        </is>
      </c>
      <c r="E90" t="inlineStr">
        <is>
          <t>虚拟机</t>
        </is>
      </c>
      <c r="F90" t="inlineStr">
        <is>
          <t>虚拟机开关机</t>
        </is>
      </c>
      <c r="G90" t="inlineStr">
        <is>
          <t>根据您描述的操作过程（关机中修改磁盘为预分配）及现状（关机任务卡住、提示“正在生效配置”），故障核心在于磁盘配置变更任务阻塞了关机流程。
您的问题可能属于以下故障之一，请确认：
① 虚拟机-022 虚拟机磁盘分配方式卡住
   判断依据：客户执行了“编辑磁盘改成预分配”操作，且虚拟机提示“正在生效配置”，表明后台正在进行磁盘格式转换或分配任务，此任务卡住导致关机任务无法继续，概率估计 ~70%
② 虚拟机-004 虚拟机关机失败
   判断依据：客户明确描述“当前任务关闭虚拟机进度不动”，关机任务未完成且处于卡死状态，概率估计 ~25%
③ 以上都不是（请补充症状描述）
请回复 ① ② 或 ③ 完成确认。</t>
        </is>
      </c>
    </row>
    <row r="91">
      <c r="A91" t="inlineStr">
        <is>
          <t>Q2026042800262</t>
        </is>
      </c>
      <c r="B91" t="inlineStr">
        <is>
          <t>HCI</t>
        </is>
      </c>
      <c r="C91" t="inlineStr">
        <is>
          <t>6.3.0_R2</t>
        </is>
      </c>
      <c r="D91" t="inlineStr">
        <is>
          <t>超融合平台1搬迁关机后，重新开机虚拟日志审计无法使用，地址也不通，需要确定一下原因</t>
        </is>
      </c>
      <c r="E91" t="inlineStr">
        <is>
          <t>虚拟机</t>
        </is>
      </c>
      <c r="F91" t="inlineStr">
        <is>
          <t>虚拟机开关机</t>
        </is>
      </c>
      <c r="G91" t="inlineStr">
        <is>
          <t>根据您提供的“搬迁关机后重新开机”场景及“虚拟机无法使用、地址不通”的现象，问题可能由虚拟机未成功启动或启动后网络配置异常导致。
请确认以下最可能的故障分类：
① 虚拟机-003 虚拟机开机失败
   判断依据：用户描述“重新开机...无法使用，地址也不通”，若虚拟机当前状态非“运行中”，或开机任务存在报错，属于此类故障，概率估计 ~55%
② 虚拟机-049 虚拟机网络丢包或不通
   判断依据：用户明确提到“地址也不通”，若虚拟机已处于运行状态但网络不可达，属于此类故障，概率估计 ~40%
③ 以上都不是（请补充症状描述）
请回复 ① ② 或 ③ 完成确认。</t>
        </is>
      </c>
    </row>
    <row r="92">
      <c r="A92" t="inlineStr">
        <is>
          <t>Q2026042800026</t>
        </is>
      </c>
      <c r="B92" t="inlineStr">
        <is>
          <t>HCI</t>
        </is>
      </c>
      <c r="C92" t="inlineStr">
        <is>
          <t>6.11.1_R1</t>
        </is>
      </c>
      <c r="D92" t="inlineStr">
        <is>
          <t>迁移数据之后，虚拟机无法正常启动</t>
        </is>
      </c>
      <c r="E92" t="inlineStr">
        <is>
          <t>虚拟机</t>
        </is>
      </c>
      <c r="F92" t="inlineStr">
        <is>
          <t>虚拟机开关机</t>
        </is>
      </c>
      <c r="G92" t="inlineStr">
        <is>
          <t>根据您提供的故障现象“迁移数据之后，虚拟机无法正常启动”，核心症状为虚拟机开机异常，诱因涉及数据迁移操作。
S0 意图识别结果如下：
根据 [核心症状为“无法正常启动”]，您的问题可能属于以下故障之一，请确认：
① **虚拟机-003 虚拟机开机失败**
   判断依据：客户描述“虚拟机无法正常启动”，这是最直接的故障表象，涵盖了因迁移后配置丢失、文件损坏或存储链异常导致的开机不成功，概率估计 ~70%
② **虚拟机-L2-虚拟机集群内或跨集群迁移失败**
   判断依据：客户提及前置动作为“迁移数据”，若因迁移任务本身失败或中断导致虚拟机状态异常从而无法启动，则归属于此类，概率估计 ~25%
③ 以上都不是（请补充症状描述）
请回复 ① ② 或 ③ 完成确认。</t>
        </is>
      </c>
    </row>
    <row r="93">
      <c r="A93" t="inlineStr">
        <is>
          <t>Q2026042702128</t>
        </is>
      </c>
      <c r="B93" t="inlineStr">
        <is>
          <t>HCI</t>
        </is>
      </c>
      <c r="C93" t="inlineStr">
        <is>
          <t>6.7.0_R2</t>
        </is>
      </c>
      <c r="D93" t="inlineStr">
        <is>
          <t>一台虚拟机无法开机，核心业务</t>
        </is>
      </c>
      <c r="E93" t="inlineStr">
        <is>
          <t>虚拟机</t>
        </is>
      </c>
      <c r="F93" t="inlineStr">
        <is>
          <t>虚拟机开关机</t>
        </is>
      </c>
      <c r="G93" t="inlineStr">
        <is>
          <t>根据用户描述“一台虚拟机无法开机”，该现象直接对应虚拟机生命周期管理中的启动操作失败场景，判断如下：
① 虚拟机-003 虚拟机开机失败
   判断依据：用户明确描述“虚拟机无法开机”，直接命中虚拟机启动失败的标准定义，概率估计 ~95%
② 虚拟机-032 虚拟机HA不达预期
   判断依据：若虚拟机原处于运行状态但因宿主机故障导致业务中断且未自动恢复，用户可能表述为“无法开机/起不来”，概率估计 ~10%
③ 以上都不是（请补充症状描述）
请回复 ① ② 或 ③ 完成确认。</t>
        </is>
      </c>
    </row>
    <row r="94">
      <c r="A94" t="inlineStr">
        <is>
          <t>Q2026042701565</t>
        </is>
      </c>
      <c r="B94" t="inlineStr">
        <is>
          <t>HCI</t>
        </is>
      </c>
      <c r="C94" t="inlineStr">
        <is>
          <t>6.11.1_R1</t>
        </is>
      </c>
      <c r="D94" t="inlineStr">
        <is>
          <t>VDC里面设置了虚拟机开关机计划，需要让这个资源里面部分离职人员的虚拟机不自动开机，但是又不能在HCI里直接删除这个虚拟机</t>
        </is>
      </c>
      <c r="E94" t="inlineStr">
        <is>
          <t>虚拟机</t>
        </is>
      </c>
      <c r="F94" t="inlineStr">
        <is>
          <t>虚拟机开关机</t>
        </is>
      </c>
      <c r="G94" t="inlineStr">
        <is>
          <t>根据用户描述，核心诉求是调整虚拟机的生命周期管理策略（定时开关机计划），属于虚拟机管理配置类问题。由于故障分类基准中无明确的“计划任务配置”或“策略调整”子项，该问题属于虚拟机域的通用管理范畴。
根据客户描述，您的问题可能属于以下故障之一，请确认：
① 虚拟机-L1 虚拟机
   判断依据：用户描述涉及虚拟机开关机计划策略调整，属于虚拟机生命周期管理范畴。虽然非系统报错故障，但在分类基准中归属于虚拟机域通用管理问题，概率估计 ~70%
② 平台-L1 平台
   判断依据：虚拟机开关机计划任务通常属于平台级的调度功能或运维管理功能。若涉及平台层面的计划任务配置异常或功能使用咨询，可归为此类，概率估计 ~30%
③ 以上都不是（请补充症状描述）
请回复 ① ② 或 ③ 完成确认。</t>
        </is>
      </c>
    </row>
    <row r="95">
      <c r="A95" t="inlineStr">
        <is>
          <t>Q2026042701558</t>
        </is>
      </c>
      <c r="B95" t="inlineStr">
        <is>
          <t>HCI</t>
        </is>
      </c>
      <c r="C95" t="inlineStr">
        <is>
          <t>6.11.1R1</t>
        </is>
      </c>
      <c r="D95" t="inlineStr">
        <is>
          <t xml:space="preserve">hci上新建scp虚拟机，开机失败，需要协助处理
</t>
        </is>
      </c>
      <c r="E95" t="inlineStr">
        <is>
          <t>虚拟机</t>
        </is>
      </c>
      <c r="F95" t="inlineStr">
        <is>
          <t>虚拟机开关机</t>
        </is>
      </c>
      <c r="G95" t="inlineStr">
        <is>
          <t>根据您提供的工单信息，用户明确描述“新建scp虚拟机，开机失败”，故障现象直接指向虚拟机的启动环节。
① 虚拟机-003 虚拟机开机失败
   判断依据：客户描述中明确提及“开机失败”，故障定位在虚拟机生命周期管理中的启动阶段，概率估计 ~95%
③ 以上都不是（请补充症状描述）
请回复 ① 或 ③ 完成确认。</t>
        </is>
      </c>
    </row>
    <row r="96">
      <c r="A96" t="inlineStr">
        <is>
          <t>Q2026042700928</t>
        </is>
      </c>
      <c r="B96" t="inlineStr">
        <is>
          <t>HCI</t>
        </is>
      </c>
      <c r="C96" t="inlineStr">
        <is>
          <t>6.3.0_R3</t>
        </is>
      </c>
      <c r="D96" t="inlineStr">
        <is>
          <t>一台虚拟机开机后自动关机，需要协助排查</t>
        </is>
      </c>
      <c r="E96" t="inlineStr">
        <is>
          <t>虚拟机</t>
        </is>
      </c>
      <c r="F96" t="inlineStr">
        <is>
          <t>虚拟机开关机</t>
        </is>
      </c>
      <c r="G96" t="inlineStr">
        <is>
          <t>根据客户描述“一台虚拟机开机后自动关机”，该现象属于虚拟机生命周期管理中的启动异常问题。在深信服HCI平台中，开机过程涉及vtpdaemon调度、KVM启动、存储挂载及许可校验等多个环节，任意环节报错均可能导致虚拟机启动后立即退出或关闭。
您的问题可能属于以下故障之一，请确认：
① 虚拟机-003 虚拟机开机失败
   判断依据：客户描述“开机后自动关机”，这是典型的虚拟机启动失败表现，可能涉及宿主资源不足、存储挂载失败、序列号过期或QEMU进程异常退出，概率估计 ~85%
② 虚拟机-042 虚拟机内部蓝屏
   判断依据：若虚拟机启动成功但Guest OS内部遭遇致命错误（如驱动冲突、系统文件损坏）触发蓝屏并自动关机，也会呈现“开机后自动关机”现象，概率估计 ~15%
③ 以上都不是（请补充症状描述）
请回复 ① ② 或 ③ 完成确认。</t>
        </is>
      </c>
    </row>
    <row r="97">
      <c r="A97" t="inlineStr">
        <is>
          <t>Q2026042700611</t>
        </is>
      </c>
      <c r="B97" t="inlineStr">
        <is>
          <t>HCI</t>
        </is>
      </c>
      <c r="C97" t="inlineStr"/>
      <c r="D97" t="inlineStr">
        <is>
          <t>虚拟机centos7.9开启hostcpu后，虚拟机开机卡住，续协助处理</t>
        </is>
      </c>
      <c r="E97" t="inlineStr">
        <is>
          <t>虚拟机</t>
        </is>
      </c>
      <c r="F97" t="inlineStr">
        <is>
          <t>虚拟机开关机</t>
        </is>
      </c>
      <c r="G97" t="inlineStr">
        <is>
          <t>根据您的描述“虚拟机开启hostcpu后，开机卡住”，该问题属于虚拟机生命周期操作异常。请确认故障分类：
① 虚拟机-003 虚拟机开机失败
   判断依据：用户明确描述“虚拟机开机卡住”，虽然表现可能为任务无响应或进度条卡顿，但在故障定界中归属于开机流程异常，概率估计 ~95%
② 虚拟机-039 虚拟机卡死无响应
   判断依据：若虚拟机状态已变为“运行中”但实际无响应，或开机任务长时间悬挂导致虚拟机进程僵死，可归属此类，概率估计 ~40%
③ 以上都不是（请补充症状描述）
请回复 ① ② 或 ③ 完成确认。</t>
        </is>
      </c>
    </row>
    <row r="98">
      <c r="A98" t="inlineStr">
        <is>
          <t>Q2026042700379</t>
        </is>
      </c>
      <c r="B98" t="inlineStr">
        <is>
          <t>HCI</t>
        </is>
      </c>
      <c r="C98" t="inlineStr">
        <is>
          <t>6.10.0_R2</t>
        </is>
      </c>
      <c r="D98" t="inlineStr">
        <is>
          <t>超融合有一台Linux系统的虚拟机，自动重启了，目前正常，需要协助排查原因。</t>
        </is>
      </c>
      <c r="E98" t="inlineStr">
        <is>
          <t>虚拟机</t>
        </is>
      </c>
      <c r="F98" t="inlineStr">
        <is>
          <t>虚拟机开关机</t>
        </is>
      </c>
      <c r="G98" t="inlineStr">
        <is>
          <t>根据您提供的“虚拟机自动重启”现象，结合 HCI 平台机制，该问题可能属于以下故障分类，请确认：
① **虚拟机-033 虚拟机异常HA**
   判断依据：在超融合架构中，虚拟机非人为触发的“自动重启”，极大概率是由 HA（高可用）机制触发。通常因宿主机故障、存储链路中断或虚拟机进程异常导致平台判定虚拟机不可用并执行重启恢复。概率估计 ~85%
② **虚拟机-L1 虚拟机**
   判断依据：若平台日志未显示 HA 动作，则可能是虚拟机内部操作系统层面的问题（如 Linux Kernel Panic 内核恐慌、系统崩溃重启）或业务软件触发的重启，属于虚拟机通用排查范畴。概率估计 ~10%
③ 以上都不是（请补充症状描述）
请回复 ① ② 或 ③ 完成确认。</t>
        </is>
      </c>
    </row>
    <row r="99">
      <c r="A99" t="inlineStr">
        <is>
          <t>Q2026042700105</t>
        </is>
      </c>
      <c r="B99" t="inlineStr">
        <is>
          <t>HCI</t>
        </is>
      </c>
      <c r="C99" t="inlineStr">
        <is>
          <t>6.3.0_R1</t>
        </is>
      </c>
      <c r="D99" t="inlineStr">
        <is>
          <t>HCI 2主机节点 630R1 有台虚拟机无法开机  核心业务无法访问</t>
        </is>
      </c>
      <c r="E99" t="inlineStr">
        <is>
          <t>虚拟机</t>
        </is>
      </c>
      <c r="F99" t="inlineStr">
        <is>
          <t>虚拟机开关机</t>
        </is>
      </c>
      <c r="G99" t="inlineStr">
        <is>
          <t>根据您提供的故障现象“虚拟机无法开机”，问题定位明确，请确认分类：
① 虚拟机-003 虚拟机开机失败
   判断依据：客户描述“有台虚拟机无法开机”，直接对应虚拟机生命周期启动失败场景，概率估计 ~95%
③ 以上都不是（请补充症状描述）
请回复 ① 或 ③ 完成确认。</t>
        </is>
      </c>
    </row>
    <row r="100">
      <c r="A100" t="inlineStr">
        <is>
          <t>Q2026042700010</t>
        </is>
      </c>
      <c r="B100" t="inlineStr">
        <is>
          <t>HCI</t>
        </is>
      </c>
      <c r="C100" t="inlineStr">
        <is>
          <t>6.11.1_R1</t>
        </is>
      </c>
      <c r="D100" t="inlineStr">
        <is>
          <t>一个核心虚拟机启动不了了，协助处理</t>
        </is>
      </c>
      <c r="E100" t="inlineStr">
        <is>
          <t>虚拟机</t>
        </is>
      </c>
      <c r="F100" t="inlineStr">
        <is>
          <t>虚拟机开关机</t>
        </is>
      </c>
      <c r="G100" t="inlineStr">
        <is>
          <t>根据用户描述“核心虚拟机启动不了”，核心症状指向虚拟机生命周期管理中的开机操作受阻，问题可能属于以下故障之一，请确认：
① 虚拟机-003 虚拟机开机失败
   判断依据：用户明确描述“虚拟机启动不了”，直接对应虚拟机开机失败场景，概率估计 ~95%
③ 以上都不是（请补充症状描述）
请回复 ① ② 或 ③ 完成确认。</t>
        </is>
      </c>
    </row>
    <row r="101">
      <c r="A101" t="inlineStr">
        <is>
          <t>Q2026042600161</t>
        </is>
      </c>
      <c r="B101" t="inlineStr">
        <is>
          <t>HCI</t>
        </is>
      </c>
      <c r="C101" t="inlineStr">
        <is>
          <t>6.3.0R2</t>
        </is>
      </c>
      <c r="D101" t="inlineStr">
        <is>
          <t>四节点HCI集群，一台HCI挂了，上面有个核心业务的his系统拉不起来,</t>
        </is>
      </c>
      <c r="E101" t="inlineStr">
        <is>
          <t>虚拟机</t>
        </is>
      </c>
      <c r="F101" t="inlineStr">
        <is>
          <t>虚拟机开关机</t>
        </is>
      </c>
      <c r="G101" t="inlineStr">
        <is>
          <t>根据您提供的“一台HCI主机宕机”且“核心业务HIS系统无法启动”的情况，这属于典型的主机故障场景下的业务恢复问题。故障分类确认如下：
根据故障现象，核心业务HIS系统因宿主机宕机无法启动，最可能的故障原因为HA机制未生效或开机受阻，请您确认：
① 虚拟机-032 虚拟机HA不达预期
   判断依据：集群节点宕机后，其上运行的虚拟机应自动迁移或重启。若虚拟机无法拉起，通常属于HA（高可用）未按预期触发或资源不足导致HA失败，概率估计 ~70%
② 虚拟机-003 虚拟机开机失败
   判断依据：若您尝试手动启动虚拟机但失败，或主机宕机导致虚拟机状态锁定异常，表现为“拉不起来”的开机失败症状，概率估计 ~25%
③ 以上都不是（请补充症状描述）
请回复 ① ② 或 ③ 完成确认。</t>
        </is>
      </c>
    </row>
    <row r="102">
      <c r="A102" t="inlineStr">
        <is>
          <t>Q2026042600117</t>
        </is>
      </c>
      <c r="B102" t="inlineStr">
        <is>
          <t>HCI</t>
        </is>
      </c>
      <c r="C102" t="inlineStr">
        <is>
          <t>6.10.0_R2</t>
        </is>
      </c>
      <c r="D102" t="inlineStr">
        <is>
          <t>【服务升级】：服务商通过数字化服务平台发起服务升级，请尽快联系服务商处理！&lt;br&gt;【工单描述】：超融合虚拟机 Windows server 2016输入用户名密码后一直在登录界面转圈圈，无法进入操作系统</t>
        </is>
      </c>
      <c r="E102" t="inlineStr">
        <is>
          <t>虚拟机</t>
        </is>
      </c>
      <c r="F102" t="inlineStr">
        <is>
          <t>虚拟机开关机</t>
        </is>
      </c>
      <c r="G102" t="inlineStr">
        <is>
          <t>根据客户描述“Windows server 2016输入用户名密码后一直在登录界面转圈圈，无法进入操作系统”，这是典型的操作系统层面交互受阻现象。系统已通过开机自检并加载图形界面，但用户会话建立过程停滞，可能涉及系统资源耗尽、配置错误或进程死锁。
您的问题可能属于以下故障之一，请确认：
① 虚拟机-039 虚拟机卡死无响应
   判断依据：虚拟机在登录界面“一直在转圈圈”且“无法进入操作系统”，属于典型的系统进程阻塞或死锁导致的卡死状态，概率估计 ~60%
② 虚拟机-037 虚拟机内部业务卡慢
   判断依据：登录过程长时间转圈也可能是由于系统资源（CPU/内存/IO）严重不足，导致响应极慢，尚未完全死机，概率估计 ~35%
③ 以上都不是（请补充症状描述）
请回复 ① ② 或 ③ 完成确认。</t>
        </is>
      </c>
    </row>
    <row r="103">
      <c r="A103" t="inlineStr">
        <is>
          <t>Q2026042600025</t>
        </is>
      </c>
      <c r="B103" t="inlineStr">
        <is>
          <t>HCI</t>
        </is>
      </c>
      <c r="C103" t="inlineStr">
        <is>
          <t>6.10.0_R1</t>
        </is>
      </c>
      <c r="D103" t="inlineStr">
        <is>
          <t>HCI巡检提示存储快照导致虚拟机开机失败检测以及虚拟机磁盘volum-type字段检测的问题需要协助处理</t>
        </is>
      </c>
      <c r="E103" t="inlineStr">
        <is>
          <t>虚拟机</t>
        </is>
      </c>
      <c r="F103" t="inlineStr">
        <is>
          <t>虚拟机开关机</t>
        </is>
      </c>
      <c r="G103" t="inlineStr">
        <is>
          <t>根据您提供的故障描述，问题核心表现为虚拟机无法正常启动，且伴随存储快照或磁盘字段异常。经分析，您的问题可能属于以下故障之一，请确认：
① 虚拟机-003 虚拟机开机失败
   判断依据：客户描述明确指出“虚拟机开机失败”，巡检提示的存储快照及volume-type字段问题是导致开机失败的具体原因，符合虚拟机启动故障范畴。概率估计 ~95%
③ 以上都不是（请补充症状描述）
请回复 ① 或 ③ 完成确认。</t>
        </is>
      </c>
    </row>
    <row r="104">
      <c r="A104" t="inlineStr">
        <is>
          <t>Q2026042500444</t>
        </is>
      </c>
      <c r="B104" t="inlineStr">
        <is>
          <t>HCI</t>
        </is>
      </c>
      <c r="C104" t="inlineStr">
        <is>
          <t>6.11.1_R1</t>
        </is>
      </c>
      <c r="D104" t="inlineStr">
        <is>
          <t>虚拟机内部重启，客户怀疑是cdp备份导致么</t>
        </is>
      </c>
      <c r="E104" t="inlineStr">
        <is>
          <t>虚拟机</t>
        </is>
      </c>
      <c r="F104" t="inlineStr">
        <is>
          <t>虚拟机开关机</t>
        </is>
      </c>
      <c r="G104" t="inlineStr">
        <is>
          <t>根据用户描述“虚拟机内部重启”并怀疑关联“CDP备份操作”，这属于典型的虚拟机稳定性问题。
**分析推理：**
1.  **症状提取**：核心故障现象是“虚拟机内部重启”（非用户主动触发的重启）。
2.  **关联分析**：客户怀疑是 CDP（持续数据保护）备份导致。CDP 备份通常涉及快照创建和 IO 镜像，可能引起短暂的 IO 暂停或资源征用。
3.  **模式匹配**：
    *   若 CDP 导致 IO 长时间挂起，可能触发虚拟机进程看门狗超时，导致平台强制重启虚拟机（符合“异常HA/异常重启”特征）。
    *   若 CDP 触发了客户机内部的驱动冲突或 IO 错误，可能导致客户机系统蓝屏（BSOD）后自动重启（符合“内部蓝屏”特征）。
请确认以下最可能的故障分类：
① **虚拟机-033 虚拟机异常HA**
   判断依据：虚拟机发生非预期的内部重启，且怀疑由 CDP 备份操作触发。若备份导致存储 IO 响应超时或进程卡顿，可能引发平台 HA 机制介入或虚拟机进程异常重启，概率估计 ~60%
② **虚拟机-042 虚拟机内部蓝屏**
   判断依据：虚拟机“内部重启”常由客户机操作系统崩溃（如 Windows 蓝屏、Linux Kernel Panic）后自动重置引起，需确认是否因备份快照导致驱动或文件系统异常，概率估计 ~30%
③ 以上都不是（请补充症状描述）
请回复 ① ② 或 ③ 完成确认。</t>
        </is>
      </c>
    </row>
    <row r="105">
      <c r="A105" t="inlineStr">
        <is>
          <t>Q2026042500232</t>
        </is>
      </c>
      <c r="B105" t="inlineStr">
        <is>
          <t>HCI</t>
        </is>
      </c>
      <c r="C105" t="inlineStr">
        <is>
          <t>6.8.0_R1</t>
        </is>
      </c>
      <c r="D105" t="inlineStr">
        <is>
          <t>机房断电来电后有两个业务虚拟机无法开机协助处理</t>
        </is>
      </c>
      <c r="E105" t="inlineStr">
        <is>
          <t>虚拟机</t>
        </is>
      </c>
      <c r="F105" t="inlineStr">
        <is>
          <t>虚拟机开关机</t>
        </is>
      </c>
      <c r="G105" t="inlineStr">
        <is>
          <t>根据客户描述“机房断电来电后有两个业务虚拟机无法开机”，核心故障现象为虚拟机开机操作失败，且具备明确的外部诱因（断电）。
您的问题可能属于以下故障之一，请确认：
① 虚拟机-003 虚拟机开机失败
   判断依据：客户明确描述“虚拟机无法开机”，直接对应开机失败现象，概率估计 ~90%
② 虚拟机-032 虚拟机HA不达预期
   判断依据：场景为“断电来电后”，若客户期望虚拟机在电力恢复后自动重启但未成功，可能涉及HA机制问题，概率估计 ~10%
③ 以上都不是（请补充症状描述）
请回复 ① ② 或 ③ 完成确认。</t>
        </is>
      </c>
    </row>
    <row r="106">
      <c r="A106" t="inlineStr">
        <is>
          <t>Q2026042500122</t>
        </is>
      </c>
      <c r="B106" t="inlineStr">
        <is>
          <t>HCI</t>
        </is>
      </c>
      <c r="C106" t="inlineStr">
        <is>
          <t>6.11.1R1</t>
        </is>
      </c>
      <c r="D106" t="inlineStr">
        <is>
          <t xml:space="preserve">SCP X86的 导入之后 开机提示Guest has not initialized the display (yet).
1、加固没问题   是X86的
2、MD5 校验没问题 
3，尝试改内置显为 QXL高性能显也不行 </t>
        </is>
      </c>
      <c r="E106" t="inlineStr">
        <is>
          <t>虚拟机</t>
        </is>
      </c>
      <c r="F106" t="inlineStr">
        <is>
          <t>虚拟机开关机</t>
        </is>
      </c>
      <c r="G106" t="inlineStr">
        <is>
          <t>根据故障现象和报错信息分析，该问题集中在虚拟机启动后的显示输出环节。
根据报错信息 "Guest has not initialized the display (yet.)" 以及用户尝试调整显卡模式的操作，问题可能属于以下故障分类，请确认：
① 虚拟机-040 虚拟机图形化界面启动失败
   判断依据：控制台明确报错 "Guest has not initialized the display (yet.)"，表明虚拟机进程可能已启动但图形界面或显示驱动未正常初始化；用户尝试切换 QXL 显卡模式也是为了解决显示问题，符合此类故障特征。概率估计 ~85%
② 虚拟机-003 虚拟机开机失败
   判断依据：用户描述为“开机提示”，若虚拟机因导入配置不兼容导致启动流程中断或异常，且用户主要诉求为“无法正常开机使用”，可能被归类为此类。概率估计 ~15%
③ 以上都不是（请补充症状描述）
请回复 ① ② 或 ③ 完成确认。</t>
        </is>
      </c>
    </row>
    <row r="107">
      <c r="A107" t="inlineStr">
        <is>
          <t>Q2026042401760</t>
        </is>
      </c>
      <c r="B107" t="inlineStr">
        <is>
          <t>HCI</t>
        </is>
      </c>
      <c r="C107" t="inlineStr">
        <is>
          <t>6.11.1</t>
        </is>
      </c>
      <c r="D107" t="inlineStr">
        <is>
          <t xml:space="preserve">虚拟机重启后系统进不去了  没备份 </t>
        </is>
      </c>
      <c r="E107" t="inlineStr">
        <is>
          <t>虚拟机</t>
        </is>
      </c>
      <c r="F107" t="inlineStr">
        <is>
          <t>虚拟机开关机</t>
        </is>
      </c>
      <c r="G107" t="inlineStr">
        <is>
          <t>根据您的描述“虚拟机重启后系统进不去了”，这通常指向操作系统层面的启动故障或虚拟机实例运行状态异常。最符合的症状分类为虚拟机内部文件系统或启动引导异常，其次需排查虚拟机开机流程是否受阻。
请您确认以下分类：
① 虚拟机-044 虚拟机内部空间或文件系统异常
   判断依据：客户描述“重启后系统进不去”，常见于文件系统损坏、引导配置错误或系统盘空间满导致操作系统无法正常加载，概率估计 ~60%
② 虚拟机-003 虚拟机开机失败
   判断依据：若虚拟机在重启过程中卡死或因底层资源问题无法成功启动运行，也会表现为“进不去系统”，概率估计 ~30%
③ 以上都不是（请补充症状描述）
请回复 ① ② 或 ③ 完成确认。</t>
        </is>
      </c>
    </row>
    <row r="108">
      <c r="A108" t="inlineStr">
        <is>
          <t>Q2026042400858</t>
        </is>
      </c>
      <c r="B108" t="inlineStr">
        <is>
          <t>HCI</t>
        </is>
      </c>
      <c r="C108" t="inlineStr">
        <is>
          <t>HCI6.11.1_R1</t>
        </is>
      </c>
      <c r="D108">
        <f>===海外工单信息====
    海外工单ID：20260424860016
    事件等级：Priority2
    产品线：HCI::6.11.1_R1
====客户信息====
    客户ID：1665
    客户MDM ID：null
    客户名称：Sangfor Mexico
    客户区域：Mexico
    客户类型：
====工单信息====
客服负责人：Chen Lan Bin
研发负责人：
【事件编号】Ticket#20260424860016
【版本信息】 HCI 6.10.0R2
【CTI专家】
【问题描述】虚拟机开启失败 修复快照链失败[图片]
【业务影响】有
【当前进展】 
1. 后台开机不行[图片]
2.  vtpdaemon有获取进度失败[图片]</f>
        <v/>
      </c>
      <c r="E108" t="inlineStr">
        <is>
          <t>虚拟机</t>
        </is>
      </c>
      <c r="F108" t="inlineStr">
        <is>
          <t>虚拟机开关机</t>
        </is>
      </c>
      <c r="G108" t="inlineStr">
        <is>
          <t>根据问题描述中明确的“虚拟机开启失败”以及具体的“修复快照链失败”报错，该问题属于虚拟机生命周期管理中的启动异常，故障分类相对明确。
您的问题可能属于以下故障之一，请确认：
① **虚拟机-003 虚拟机开机失败**
   判断依据：问题描述明确提及“虚拟机开启失败”，且“后台开机不行”。虽然伴随“修复快照链失败”的错误，但这属于导致开机失败的直接原因（启动流程中快照链校验/修复环节异常），符合开机失败的分类定义，概率估计 ~95%
③ 以上都不是（请补充症状描述）
请回复 ① 或 ③ 完成确认。</t>
        </is>
      </c>
    </row>
    <row r="109">
      <c r="A109" t="inlineStr">
        <is>
          <t>Q2026042400657</t>
        </is>
      </c>
      <c r="B109" t="inlineStr">
        <is>
          <t>HCI</t>
        </is>
      </c>
      <c r="C109" t="inlineStr"/>
      <c r="D109" t="inlineStr">
        <is>
          <t>安装补丁包后反馈虚拟机触发了异常重启，需要协助排查</t>
        </is>
      </c>
      <c r="E109" t="inlineStr">
        <is>
          <t>虚拟机</t>
        </is>
      </c>
      <c r="F109" t="inlineStr">
        <is>
          <t>虚拟机开关机</t>
        </is>
      </c>
      <c r="G109" t="inlineStr">
        <is>
          <t>根据客户描述的【虚拟机异常重启】症状及【安装补丁包】的关键操作背景，问题可能涉及虚拟机高可用机制误触发或主机侧异常，请确认以下分类：
① 虚拟机-033 虚拟机异常HA
   判断依据：客户明确反馈“虚拟机触发了异常重启”，通常对应虚拟机被平台HA机制重启或非预期重启，概率估计 ~60%
② 平台-005 主机离线或异常重启
   判断依据：问题发生在“安装补丁包后”，补丁操作常涉及主机重启或服务波动，可能导致主机短暂离线进而引发虚拟机重启，概率估计 ~35%
③ 以上都不是（请补充症状描述）
请回复 ① ② 或 ③ 完成确认。</t>
        </is>
      </c>
    </row>
    <row r="110">
      <c r="A110" t="inlineStr">
        <is>
          <t>Q2026042400423</t>
        </is>
      </c>
      <c r="B110" t="inlineStr">
        <is>
          <t>HCI</t>
        </is>
      </c>
      <c r="C110" t="inlineStr">
        <is>
          <t>6.11.1</t>
        </is>
      </c>
      <c r="D110" t="inlineStr">
        <is>
          <t>个人虚拟机开机提示与此计算机的连接数量是有限的，现在已经使用所有连接。请尝试稍后连接或与系统管理员联系。</t>
        </is>
      </c>
      <c r="E110" t="inlineStr">
        <is>
          <t>虚拟机</t>
        </is>
      </c>
      <c r="F110" t="inlineStr">
        <is>
          <t>虚拟机开关机</t>
        </is>
      </c>
      <c r="G110" t="inlineStr">
        <is>
          <t>根据错误提示信息分析，您遇到的“与此计算机的连接数量是有限的”属于 Windows 操作系统层面的会话限制提示，通常意味着虚拟机已成功启动并运行，但操作系统内部的服务（如远程桌面 RDP）达到了连接上限或授权限制。这表明故障点位于虚拟机内部业务软件配置，而非平台开机流程失败。
您的问题可能属于以下故障，请确认：
① **虚拟机-043 虚拟机内部软件使用异常**
   判断依据：错误提示“与此计算机的连接数量是有限的...”为典型的 Windows 操作系统远程桌面服务（RDP）或文件共享服务会话数达上限的报错，说明虚拟机已开机运行，问题出在系统内部配置，概率估计 ~95%
③ 以上都不是（请补充症状描述）
请回复 ① 或 ③ 完成确认。</t>
        </is>
      </c>
    </row>
    <row r="111">
      <c r="A111" t="inlineStr">
        <is>
          <t>Q2026042400404</t>
        </is>
      </c>
      <c r="B111" t="inlineStr">
        <is>
          <t>HCI</t>
        </is>
      </c>
      <c r="C111" t="inlineStr"/>
      <c r="D111" t="inlineStr">
        <is>
          <t>硬盘坏道  虚拟机无法重启</t>
        </is>
      </c>
      <c r="E111" t="inlineStr">
        <is>
          <t>虚拟机</t>
        </is>
      </c>
      <c r="F111" t="inlineStr">
        <is>
          <t>虚拟机开关机</t>
        </is>
      </c>
      <c r="G111" t="inlineStr">
        <is>
          <t>根据 [客户描述中同时包含硬件故障现象“硬盘坏道”与虚拟机操作故障“无法重启”]，您的问题可能属于以下故障之一，请确认：
① **硬件-023 硬盘坏道**
   判断依据：客户描述明确指出“硬盘坏道”，关键词精准命中分类基准；磁盘物理坏道往往是导致上层虚拟机文件损坏或读写阻塞、进而引发重启失败的根因，概率估计 ~60%
② **虚拟机-005 虚拟机重启失败**
   判断依据：客户描述明确指出“虚拟机无法重启”，直接命中虚拟机操作失败分类；若需聚焦于恢复虚拟机业务状态或排查虚拟机层面的受影响程度，可选此项，概率估计 ~40%
③ 以上都不是（请补充症状描述）
请回复 ① ② 或 ③ 完成确认。</t>
        </is>
      </c>
    </row>
    <row r="112">
      <c r="A112" t="inlineStr">
        <is>
          <t>Q2026042400140</t>
        </is>
      </c>
      <c r="B112" t="inlineStr">
        <is>
          <t>HCI</t>
        </is>
      </c>
      <c r="C112" t="inlineStr">
        <is>
          <t>HCI6.9.0</t>
        </is>
      </c>
      <c r="D112" t="inlineStr">
        <is>
          <t>光大证券kylin虚拟机重启后时间调变了8h</t>
        </is>
      </c>
      <c r="E112" t="inlineStr">
        <is>
          <t>虚拟机</t>
        </is>
      </c>
      <c r="F112" t="inlineStr">
        <is>
          <t>虚拟机开关机</t>
        </is>
      </c>
      <c r="G112" t="inlineStr">
        <is>
          <t>根据客户描述“kylin虚拟机重启后时间调变了8h”，这是典型的时间同步或时区配置问题。8小时偏差通常对应 UTC 与 UTC+8（北京时间）的差异。
基于故障特征，建议确认以下分类：
① 虚拟机-043 虚拟机内部软件使用异常
   判断依据：症状表现为虚拟机内部系统时间异常（偏差8h），这通常属于虚拟机操作系统层面的时区配置或NTP服务软件配置问题，概率估计 ~70%
② 平台-024 集群与NTP服务器通信异常告警
   判断依据：若HCI宿主机时间同步服务异常，可能通过虚拟化平台同步机制导致虚拟机时间跳变，概率估计 ~20%
③ 以上都不是（请补充症状描述）
请回复 ① ② 或 ③ 完成确认。</t>
        </is>
      </c>
    </row>
    <row r="113">
      <c r="A113" t="inlineStr">
        <is>
          <t>Q2026042301945</t>
        </is>
      </c>
      <c r="B113" t="inlineStr">
        <is>
          <t>HCI</t>
        </is>
      </c>
      <c r="C113" t="inlineStr">
        <is>
          <t>6.10.0R2</t>
        </is>
      </c>
      <c r="D113" t="inlineStr">
        <is>
          <t>单个Ubuntu虚拟机无法进入系统</t>
        </is>
      </c>
      <c r="E113" t="inlineStr">
        <is>
          <t>虚拟机</t>
        </is>
      </c>
      <c r="F113" t="inlineStr">
        <is>
          <t>虚拟机开关机</t>
        </is>
      </c>
      <c r="G113" t="inlineStr">
        <is>
          <t>根据「单个Ubuntu虚拟机无法进入系统」的描述，这通常指虚拟机电源已启动但操作系统未能正常加载（如黑屏、卡启动项、进入紧急模式等），请确认以下最匹配的故障分类：
① 虚拟机-041 虚拟机内部黑屏
   判断依据：客户描述“无法进入系统”，在虚拟机场景下常表现为控制台黑屏或卡在自检界面，符合虚拟机运行但操作系统未加载的显性特征。概率估计 ~60%
② 虚拟机-044 虚拟机内部空间或文件系统异常
   判断依据：Linux（Ubuntu）虚拟机无法进入系统的常见技术原因为文件系统损坏（fsck报错）或磁盘空间满导致启动挂起，符合操作系统级故障特征。概率估计 ~30%
③ 以上都不是（请补充症状描述）
请回复 ① ② 或 ③ 完成确认。</t>
        </is>
      </c>
    </row>
    <row r="114">
      <c r="A114" t="inlineStr">
        <is>
          <t>Q2026042301644</t>
        </is>
      </c>
      <c r="B114" t="inlineStr">
        <is>
          <t>HCI</t>
        </is>
      </c>
      <c r="C114" t="inlineStr"/>
      <c r="D114" t="inlineStr">
        <is>
          <t>HCI，3台主机做了一个集群 ，日志审计，放在其中一台， 其他虚拟机都是关机状态，虚拟机开不起来，内存大小不够，物理主机内存：128G ，虚拟机分配的64G， 原本可以正常运行的，把虚拟机关机重启一下发现起不来了。</t>
        </is>
      </c>
      <c r="E114" t="inlineStr">
        <is>
          <t>虚拟机</t>
        </is>
      </c>
      <c r="F114" t="inlineStr">
        <is>
          <t>虚拟机开关机</t>
        </is>
      </c>
      <c r="G114" t="inlineStr">
        <is>
          <t>根据客户描述“虚拟机开不起来”且明确提示“内存大小不够”，这是典型的虚拟机启动资源校验失败场景，请确认：
① 虚拟机-003 虚拟机开机失败
   判断依据：客户明确描述“虚拟机开不起来，内存大小不够”，直接指向虚拟机启动失败，且原因指向资源不足，概率估计 ~99%
② 平台-020 主机CPU或内存使用率过高告警
   判断依据：物理内存128G而虚拟机分配64G仍提示不足，可能存在主机层面内存占用过高或内存超分限制导致资源紧张，概率估计 ~10%
③ 以上都不是（请补充症状描述）
请回复 ① ② 或 ③ 完成确认。</t>
        </is>
      </c>
    </row>
    <row r="115">
      <c r="A115" t="inlineStr">
        <is>
          <t>Q2026042301181</t>
        </is>
      </c>
      <c r="B115" t="inlineStr">
        <is>
          <t>HCI</t>
        </is>
      </c>
      <c r="C115" t="inlineStr"/>
      <c r="D115" t="inlineStr">
        <is>
          <t>hci  虚拟机重启后崩了，需要排查处理</t>
        </is>
      </c>
      <c r="E115" t="inlineStr">
        <is>
          <t>虚拟机</t>
        </is>
      </c>
      <c r="F115" t="inlineStr">
        <is>
          <t>虚拟机开关机</t>
        </is>
      </c>
      <c r="G115" t="inlineStr">
        <is>
          <t>根据 用户描述“虚拟机重启后崩了”，核心故障特征为虚拟机在执行重启操作后出现异常状态（崩溃），且用户意图是排查处理。这直接指向虚拟机生命周期操作中的重启环节失败或重启后的状态异常。
① **虚拟机-005 虚拟机重启失败**
   判断依据：用户明确描述“虚拟机重启后崩了”，故障发生在“重启”这一特定操作环节，最直接对应重启任务执行失败或因异常导致重启流程中断，概率估计 ~60%
② **虚拟机-042 虚拟机内部蓝屏**
   判断依据：“崩了”在运维口语中常指代操作系统层面的崩溃（如Windows蓝屏），若虚拟机重启成功进入系统但系统崩溃，则归为此类，概率估计 ~30%
③ 以上都不是（请补充症状描述）
请回复 ① ② 或 ③ 完成确认。</t>
        </is>
      </c>
    </row>
    <row r="116">
      <c r="A116" t="inlineStr">
        <is>
          <t>Q2026042300807</t>
        </is>
      </c>
      <c r="B116" t="inlineStr">
        <is>
          <t>HCI</t>
        </is>
      </c>
      <c r="C116" t="inlineStr">
        <is>
          <t>6.8.0_R2</t>
        </is>
      </c>
      <c r="D116" t="inlineStr">
        <is>
          <t>虚拟机启动失败：虚拟机镜像繁忙</t>
        </is>
      </c>
      <c r="E116" t="inlineStr">
        <is>
          <t>虚拟机</t>
        </is>
      </c>
      <c r="F116" t="inlineStr">
        <is>
          <t>虚拟机开关机</t>
        </is>
      </c>
      <c r="G116" t="inlineStr">
        <is>
          <t>根据用户描述的“虚拟机启动失败”及错误提示“虚拟机镜像繁忙”，这是典型的虚拟机生命周期管理问题，判断如下：
① 虚拟机-003 虚拟机开机失败
   判断依据：用户明确描述“虚拟机启动失败”，错误信息“虚拟机镜像繁忙”通常指向磁盘锁定或并发任务冲突导致的开机流程中断，符合虚拟机开机失败的故障定义，概率估计 ~95%
③ 以上都不是（请补充症状描述）
请回复 ① 或 ③ 完成确认。</t>
        </is>
      </c>
    </row>
    <row r="117">
      <c r="A117" t="inlineStr">
        <is>
          <t>Q2026042300732</t>
        </is>
      </c>
      <c r="B117" t="inlineStr">
        <is>
          <t>HCI</t>
        </is>
      </c>
      <c r="C117" t="inlineStr">
        <is>
          <t>6.10.0_R2</t>
        </is>
      </c>
      <c r="D117" t="inlineStr">
        <is>
          <t>hci 611r1 虚拟机点重启没反应，显示重启失败，关闭电源重启一直黑屏，装的centos系统。 需要排查处理</t>
        </is>
      </c>
      <c r="E117" t="inlineStr">
        <is>
          <t>虚拟机</t>
        </is>
      </c>
      <c r="F117" t="inlineStr">
        <is>
          <t>虚拟机开关机</t>
        </is>
      </c>
      <c r="G117" t="inlineStr">
        <is>
          <t>根据您提供的信息，虚拟机出现重启操作失败以及强制关机后再开机出现黑屏的现象，初步判断可能涉及虚拟机生命周期管理或运行状态异常。
请您确认是否属于以下故障分类：
① **虚拟机-005 虚拟机重启失败**
   判断依据：用户明确描述“虚拟机点重启没反应，显示重启失败”，直接指向重启操作无法完成，概率估计 ~60%
② **虚拟机-041 虚拟机内部黑屏**
   判断依据：用户描述“关闭电源重启一直黑屏”，表明虚拟机在尝试启动后控制台无显示输出，概率估计 ~35%
③ 以上都不是（请补充症状描述）
请回复 ① ② 或 ③ 完成确认。</t>
        </is>
      </c>
    </row>
    <row r="118">
      <c r="A118" t="inlineStr">
        <is>
          <t>Q2026042300176</t>
        </is>
      </c>
      <c r="B118" t="inlineStr">
        <is>
          <t>HCI</t>
        </is>
      </c>
      <c r="C118" t="inlineStr">
        <is>
          <t>HCI6.10.0_R2</t>
        </is>
      </c>
      <c r="D118" t="inlineStr">
        <is>
          <t>【服务升级】：服务商通过数字化服务平台发起服务升级，请尽快联系服务商处理！&lt;br&gt;【工单描述】：虚拟机关机卡住，协助后台确认</t>
        </is>
      </c>
      <c r="E118" t="inlineStr">
        <is>
          <t>虚拟机</t>
        </is>
      </c>
      <c r="F118" t="inlineStr">
        <is>
          <t>虚拟机开关机</t>
        </is>
      </c>
      <c r="G118" t="inlineStr">
        <is>
          <t>根据客户描述中明确提及的“虚拟机关机卡住”这一核心症状，问题定位于虚拟机生命周期管理中的关机环节。
根据故障现象，您的问题可能属于以下故障之一，请确认：
① 虚拟机-004 虚拟机关机失败
   判断依据：客户描述明确指出“虚拟机关机卡住”，关机操作无法正常完成，符合虚拟机关机失败的定义，概率估计 ~95%
③ 以上都不是（请补充症状描述）
请回复 ① 或 ③ 完成确认。</t>
        </is>
      </c>
    </row>
    <row r="119">
      <c r="A119" t="inlineStr">
        <is>
          <t>Q2026042300134</t>
        </is>
      </c>
      <c r="B119" t="inlineStr">
        <is>
          <t>HCI</t>
        </is>
      </c>
      <c r="C119" t="inlineStr"/>
      <c r="D119" t="inlineStr">
        <is>
          <t>Windows虚拟机需要改启动模式，从seabios改成uefi，已经改了系统分区为GPT模式，但是选择uefi启动，开不起来</t>
        </is>
      </c>
      <c r="E119" t="inlineStr">
        <is>
          <t>虚拟机</t>
        </is>
      </c>
      <c r="F119" t="inlineStr">
        <is>
          <t>虚拟机开关机</t>
        </is>
      </c>
      <c r="G119" t="inlineStr">
        <is>
          <t>根据您描述的情况，修改虚拟机启动模式为 UEFI 后虚拟机无法开启，这直接指向虚拟机启动流程失败。
① 虚拟机-003 虚拟机开机失败
   判断依据：用户明确描述“选择uefi启动，开不起来”，这是典型的虚拟机开机失败场景。修改固件类型（BIOS转UEFI）常因引导模式与系统配置不匹配导致启动任务失败，概率估计 ~95%
③ 以上都不是（请补充症状描述）
请回复 ① 或 ③ 完成确认。</t>
        </is>
      </c>
    </row>
    <row r="120">
      <c r="A120" t="inlineStr">
        <is>
          <t>Q2026042201717</t>
        </is>
      </c>
      <c r="B120" t="inlineStr">
        <is>
          <t>HCI</t>
        </is>
      </c>
      <c r="C120" t="inlineStr">
        <is>
          <t>6.10.0_R2</t>
        </is>
      </c>
      <c r="D120" t="inlineStr">
        <is>
          <t>HCI 有一个虚拟机的系统奔溃了，重启虚拟机也不行，需要协助恢复。</t>
        </is>
      </c>
      <c r="E120" t="inlineStr">
        <is>
          <t>虚拟机</t>
        </is>
      </c>
      <c r="F120" t="inlineStr">
        <is>
          <t>虚拟机开关机</t>
        </is>
      </c>
      <c r="G120" t="inlineStr">
        <is>
          <t>根据客户描述“虚拟机系统奔溃，重启无效”，核心关键词为“系统奔溃”，通常指代操作系统层面的严重故障（如蓝屏、内核恐慌），但也存在客户将“开机无反应”描述为“奔溃”的可能性。
根据症状分析，您的问题可能属于以下故障之一，请确认：
① 虚拟机-042 虚拟机内部蓝屏
   判断依据：客户明确描述“系统奔溃”，通常对应 Windows 蓝屏或 Linux 内核崩溃，属于虚拟机操作系统内部故障，概率估计 ~70%
② 虚拟机-003 虚拟机开机失败
   判断依据：客户提及“重启虚拟机也不行”，若重启操作在平台层面报错，或虚拟机无法正常通电启动，则归类为开机失败，概率估计 ~25%
③ 以上都不是（请补充症状描述）
请回复 ① ② 或 ③ 完成确认。</t>
        </is>
      </c>
    </row>
    <row r="121">
      <c r="A121" t="inlineStr">
        <is>
          <t>Q2026042201416</t>
        </is>
      </c>
      <c r="B121" t="inlineStr">
        <is>
          <t>HCI</t>
        </is>
      </c>
      <c r="C121" t="inlineStr">
        <is>
          <t>6.11.1_R1</t>
        </is>
      </c>
      <c r="D121" t="inlineStr">
        <is>
          <t>HCI，上了ubuntu虚拟机，虚拟机界面配置了IP地址 ，虚拟机重启 虚拟机的IP丢失 。IP地址没有冲突。</t>
        </is>
      </c>
      <c r="E121" t="inlineStr">
        <is>
          <t>虚拟机</t>
        </is>
      </c>
      <c r="F121" t="inlineStr">
        <is>
          <t>虚拟机开关机</t>
        </is>
      </c>
      <c r="G121" t="inlineStr">
        <is>
          <t>根据您提供的信息，Ubuntu 虚拟机在界面配置 IP 后重启丢失，且确认无 IP 冲突。该现象通常与虚拟机操作系统内部的网络配置持久化机制有关（例如 Linux 环境下使用了临时配置命令未写入配置文件，或 NetworkManager/Netplan 配置未保存），而非 HCI 平台基础设施故障。
您的问题可能属于以下故障之一，请确认：
① 虚拟机-L1 虚拟机
   判断依据：问题表现仅涉及虚拟机内部 IP 配置在重启后无法保存，属于虚拟机层面的系统配置或使用问题，概率估计 ~90%
② 以上都不是（请补充症状描述）
请回复 ① 或 ② 完成确认。</t>
        </is>
      </c>
    </row>
    <row r="122">
      <c r="A122" t="inlineStr">
        <is>
          <t>Q2026042201387</t>
        </is>
      </c>
      <c r="B122" t="inlineStr">
        <is>
          <t>HCI</t>
        </is>
      </c>
      <c r="C122" t="inlineStr">
        <is>
          <t>HCI6.11.1_R1</t>
        </is>
      </c>
      <c r="D122" t="inlineStr">
        <is>
          <t>超融合纳管迁移VMware 虚拟机无法开机，虚拟机取消了virtio磁盘，需要协助。</t>
        </is>
      </c>
      <c r="E122" t="inlineStr">
        <is>
          <t>虚拟机</t>
        </is>
      </c>
      <c r="F122" t="inlineStr">
        <is>
          <t>虚拟机开关机</t>
        </is>
      </c>
      <c r="G122" t="inlineStr">
        <is>
          <t>根据客户描述“超融合纳管迁移VMware 虚拟机无法开机”，问题定位在虚拟机生命周期与迁移场景。鉴于故障发生在“VMware纳管迁移”这一特定业务流程中，且表现症状为“无法开机”，可能涉及迁移适配或通用启动故障。
请确认以下故障分类：
① 虚拟机-021 虚拟机vmware纳管迁移失败
   判断依据：明确提及“纳管迁移VMware”背景及“无法开机”症状，属于跨平台迁移落地阶段的典型故障，概率估计 ~60%
② 虚拟机-003 虚拟机开机失败
   判断依据：核心症状为“虚拟机无法开机”，若迁移任务已完成交付但虚拟机配置（如磁盘控制器）异常导致启动不成功，可归为此类，概率估计 ~40%
③ 以上都不是（请补充症状描述）
请回复 ① ② 或 ③ 完成确认。</t>
        </is>
      </c>
    </row>
    <row r="123">
      <c r="A123" t="inlineStr">
        <is>
          <t>Q2026042200865</t>
        </is>
      </c>
      <c r="B123" t="inlineStr">
        <is>
          <t>HCI</t>
        </is>
      </c>
      <c r="C123" t="inlineStr"/>
      <c r="D123" t="inlineStr">
        <is>
          <t>HCI 虚拟机起不来，报错，没有主机能启动这个虚拟机，虚拟存储不支持在该主机上启动虚拟机。虚拟存储是正常的。</t>
        </is>
      </c>
      <c r="E123" t="inlineStr">
        <is>
          <t>虚拟机</t>
        </is>
      </c>
      <c r="F123" t="inlineStr">
        <is>
          <t>虚拟机开关机</t>
        </is>
      </c>
      <c r="G123" t="inlineStr">
        <is>
          <t>根据您提供的错误信息“没有主机能启动这个虚拟机，虚拟存储不支持在该主机上启动虚拟机”，这直接指向了虚拟机启动过程中的资源限制或兼容性问题。虽然您提到虚拟存储状态正常，但报错表明虚拟机磁盘所在的存储类型（可能是本地存储或特定分布式存储策略）与当前可用主机存在兼容性或访问限制，导致无法调度启动。
您的问题可能属于以下故障之一，请确认：
① 虚拟机-003 虚拟机开机失败
   判断依据：客户描述“虚拟机起不来”，且明确报错“虚拟存储不支持在该主机上启动虚拟机”，符合虚拟机开机失败的标准故障现象，概率估计 ~95%
② 存储-019 虚拟存储状态异常（离线、服务异常、服务未启动等）
   判断依据：虽然用户认为存储正常，但报错提示“虚拟存储不支持...”，可能存在存储兼容性问题或部分主机存储服务异常导致无法作为启动目标，概率估计 ~20%
③ 以上都不是（请补充症状描述）
请回复 ① ② 或 ③ 完成确认。</t>
        </is>
      </c>
    </row>
    <row r="124">
      <c r="A124" t="inlineStr">
        <is>
          <t>Q2026042200661</t>
        </is>
      </c>
      <c r="B124" t="inlineStr">
        <is>
          <t>HCI</t>
        </is>
      </c>
      <c r="C124" t="inlineStr">
        <is>
          <t>6.0.0R5</t>
        </is>
      </c>
      <c r="D124" t="inlineStr">
        <is>
          <t>有一台超融合的linux虚拟机进入救援模式了，重启，exit都不行，一台档案系统虚拟机，影响核心业务</t>
        </is>
      </c>
      <c r="E124" t="inlineStr">
        <is>
          <t>虚拟机</t>
        </is>
      </c>
      <c r="F124" t="inlineStr">
        <is>
          <t>虚拟机开关机</t>
        </is>
      </c>
      <c r="G124" t="inlineStr">
        <is>
          <t>根据您的描述，Linux虚拟机进入救援模式且无法正常启动，这通常是操作系统内部检测到文件系统损坏或磁盘挂载故障导致的。问题可能属于以下故障分类：
① 虚拟机-044 虚拟机内部空间或文件系统异常
   判断依据：客户描述“linux虚拟机进入救援模式”，Linux系统进入救援模式的常见触发条件为文件系统一致性检查失败或关键挂载点异常，属于虚拟机内部文件系统层面故障，概率估计 ~90%
② 虚拟机-003 虚拟机开机失败
   判断依据：虽然虚拟机可能已经处于运行状态，但“重启，exit都不行”意味着业务无法正常启动，从业务可用性角度可视为广义的开机失败，概率估计 ~10%
③ 以上都不是（请补充症状描述）
请回复 ① ② 或 ③ 完成确认。</t>
        </is>
      </c>
    </row>
    <row r="125">
      <c r="A125" t="inlineStr">
        <is>
          <t>Q2026042200634</t>
        </is>
      </c>
      <c r="B125" t="inlineStr">
        <is>
          <t>HCI</t>
        </is>
      </c>
      <c r="C125" t="inlineStr">
        <is>
          <t>6.3.0R2</t>
        </is>
      </c>
      <c r="D125" t="inlineStr">
        <is>
          <t>【服务升级】：服务商通过数字化服务平台发起服务升级，请尽快联系服务商处理！&lt;br&gt;【工单描述】：虚拟机管理员密码忘记，但是pe启动虚拟机起不来，提示内部错误。然后本地网卡未配置。协助看下。原厂的服务</t>
        </is>
      </c>
      <c r="E125" t="inlineStr">
        <is>
          <t>虚拟机</t>
        </is>
      </c>
      <c r="F125" t="inlineStr">
        <is>
          <t>虚拟机开关机</t>
        </is>
      </c>
      <c r="G125" t="inlineStr">
        <is>
          <t>根据工单描述中“PE启动虚拟机起不来，提示内部错误”及“虚拟机管理员密码忘记”两个关键信息分析，您的问题可能属于以下故障之一，请确认：
① 虚拟机-003 虚拟机开机失败
   判断依据：用户明确描述“pe启动虚拟机起不来，提示内部错误”，属于虚拟机启动阶段异常，概率估计 ~60%
② 虚拟机-045 虚拟机密码重置
   判断依据：用户明确描述“虚拟机管理员密码忘记”，这是用户的原始运维诉求，概率估计 ~40%
③ 以上都不是（请补充症状描述）
请回复 ① ② 或 ③ 完成确认。</t>
        </is>
      </c>
    </row>
    <row r="126">
      <c r="A126" t="inlineStr">
        <is>
          <t>Q2026042200492</t>
        </is>
      </c>
      <c r="B126" t="inlineStr">
        <is>
          <t>HCI</t>
        </is>
      </c>
      <c r="C126" t="inlineStr">
        <is>
          <t>HCI6.0.0_R5</t>
        </is>
      </c>
      <c r="D126" t="inlineStr">
        <is>
          <t>HCI 虚拟机起不来，虚拟机镜像忙，正在执行其他操作 。主机宕机，需要协助排查宕机原因。核心数据库业务受影响</t>
        </is>
      </c>
      <c r="E126" t="inlineStr">
        <is>
          <t>虚拟机</t>
        </is>
      </c>
      <c r="F126" t="inlineStr">
        <is>
          <t>虚拟机开关机</t>
        </is>
      </c>
      <c r="G126" t="inlineStr">
        <is>
          <t>根据客户描述中明确提及的“主机宕机”及诉求“排查宕机原因”，同时伴随“虚拟机起不来”的现象，问题定位于主机层面的可能性最高，但虚拟机层面的具体报错也需关注。
根据 [主机宕机] 及 [虚拟机镜像忙] 的症状描述，您的问题可能属于以下故障之一，请确认：
① **平台-005 主机离线或异常重启**
   判断依据：客户明确描述“主机宕机”，并明确诉求“需要协助排查宕机原因”，这是当前最核心的故障现象，概率估计 ~85%
② **虚拟机-003 虚拟机开机失败**
   判断依据：客户描述“HCI 虚拟机起不来”，且提示具体错误“虚拟机镜像忙，正在执行其他操作”，可能是主机宕机后的衍生症状或独立故障，概率估计 ~15%
③ 以上都不是（请补充症状描述）
请回复 ① ② 或 ③ 完成确认。</t>
        </is>
      </c>
    </row>
    <row r="127">
      <c r="A127" t="inlineStr">
        <is>
          <t>Q2026042200409</t>
        </is>
      </c>
      <c r="B127" t="inlineStr">
        <is>
          <t>HCI</t>
        </is>
      </c>
      <c r="C127" t="inlineStr">
        <is>
          <t>6.10.0_R2</t>
        </is>
      </c>
      <c r="D127" t="inlineStr">
        <is>
          <t xml:space="preserve">HCI ，虚拟机无法开机，虚拟机异常重启， 单个虚拟机，核心数据库受影响 </t>
        </is>
      </c>
      <c r="E127" t="inlineStr">
        <is>
          <t>虚拟机</t>
        </is>
      </c>
      <c r="F127" t="inlineStr">
        <is>
          <t>虚拟机开关机</t>
        </is>
      </c>
      <c r="G127" t="inlineStr">
        <is>
          <t>根据用户描述中明确的“虚拟机无法开机”这一核心故障现象，且涉及单个虚拟机，这是当前业务恢复的最直接阻碍。同时“虚拟机异常重启”可能是导致当前无法开机的前置原因（如系统文件损坏或配置异常），但当前需要解决的是开机失败问题。
您的问题可能属于以下故障分类，请确认：
① 虚拟机-003 虚拟机开机失败
   判断依据：用户明确描述“虚拟机无法开机”，且受影响对象为“单个虚拟机”，符合虚拟机生命周期管理中的启动失败特征，概率估计 ~90%
② 虚拟机-033 虚拟机异常HA
   判断依据：用户提及“虚拟机异常重启”，若该重启是由平台HA机制触发（如宿主机故障后迁移），且随后出现无法开机的情况，则可能关联异常HA，概率估计 ~10%
③ 以上都不是（请补充症状描述）
请回复 ① ② 或 ③ 完成确认。</t>
        </is>
      </c>
    </row>
    <row r="128">
      <c r="A128" t="inlineStr">
        <is>
          <t>Q2026042200251</t>
        </is>
      </c>
      <c r="B128" t="inlineStr">
        <is>
          <t>HCI</t>
        </is>
      </c>
      <c r="C128" t="inlineStr">
        <is>
          <t>HCI6.10.0_R2</t>
        </is>
      </c>
      <c r="D128" t="inlineStr">
        <is>
          <t>hci eds 存算分离，虚拟机时不时故障，最近有两台故障重启后恢复正常了，需要排查具体原因。</t>
        </is>
      </c>
      <c r="E128" t="inlineStr">
        <is>
          <t>虚拟机</t>
        </is>
      </c>
      <c r="F128" t="inlineStr">
        <is>
          <t>虚拟机开关机</t>
        </is>
      </c>
      <c r="G128" t="inlineStr">
        <is>
          <t>根据客户描述的“存算分离架构”以及“虚拟机间歇性故障、重启恢复”的现象，问题可能表现为虚拟机无响应或被平台机制重启。请确认具体的故障表现：
① 虚拟机-039 虚拟机卡死无响应
   判断依据：客户描述“虚拟机时不时故障”，在存算分离场景下常因存储网络抖动导致虚拟机进程挂起（IO Hang）或内部业务死锁，表现为卡死，概率估计 ~60%
② 虚拟机-033 虚拟机异常HA
   判断依据：客户描述“故障重启后恢复正常”，若该重启是由HCI平台自动触发（即虚拟机发生了高可用切换），则属于异常HA，概率估计 ~35%
③ 以上都不是（请补充症状描述）
请回复 ① ② 或 ③ 完成确认。</t>
        </is>
      </c>
    </row>
    <row r="129">
      <c r="A129" t="inlineStr">
        <is>
          <t>Q2026042101937</t>
        </is>
      </c>
      <c r="B129" t="inlineStr">
        <is>
          <t>HCI</t>
        </is>
      </c>
      <c r="C129" t="inlineStr">
        <is>
          <t>6.11.1R1</t>
        </is>
      </c>
      <c r="D129" t="inlineStr">
        <is>
          <t>虚拟机开机失败协助处理</t>
        </is>
      </c>
      <c r="E129" t="inlineStr">
        <is>
          <t>虚拟机</t>
        </is>
      </c>
      <c r="F129" t="inlineStr">
        <is>
          <t>虚拟机开关机</t>
        </is>
      </c>
      <c r="G129" t="inlineStr">
        <is>
          <t>根据客户描述“虚拟机开机失败协助处理”，该问题描述与故障分类基准高度匹配，请确认：
① 虚拟机-003 虚拟机开机失败
   判断依据：客户直接描述故障现象为“虚拟机开机失败”，与分类名称语义完全一致，概率估计 ~99%
③ 以上都不是（请补充症状描述）
请回复 ① 或 ③ 完成确认。</t>
        </is>
      </c>
    </row>
    <row r="130">
      <c r="A130" t="inlineStr">
        <is>
          <t>Q2026042101702</t>
        </is>
      </c>
      <c r="B130" t="inlineStr">
        <is>
          <t>HCI</t>
        </is>
      </c>
      <c r="C130" t="inlineStr">
        <is>
          <t>6.11.1_R1</t>
        </is>
      </c>
      <c r="D130" t="inlineStr">
        <is>
          <t>服务器无法开机，部分虚拟机无法拉起</t>
        </is>
      </c>
      <c r="E130" t="inlineStr">
        <is>
          <t>虚拟机</t>
        </is>
      </c>
      <c r="F130" t="inlineStr">
        <is>
          <t>虚拟机开关机</t>
        </is>
      </c>
      <c r="G130" t="inlineStr">
        <is>
          <t>根据您提供的「服务器无法开机，部分虚拟机无法拉起」描述，核心关键词为“服务器”和“虚拟机拉起失败”。这通常指向物理主机层面的硬件故障或电源问题导致计算节点不可用，进而引发依赖该节点的虚拟机无法运行；但也存在用户将业务虚拟机称呼为“服务器”的可能性。
以下是可能的故障分类：
① **硬件-042 盒子开机失败**
   判断依据：描述中明确提及“服务器无法开机”，大概率指物理服务器（盒子/主机）无法上电启动，导致其承载的虚拟机无法拉起，概率估计 ~70%
② **虚拟机-003 虚拟机开机失败**
   判断依据：若“服务器”指代业务虚拟机本身，或物理主机已开机但平台显示异常，重点在于虚拟机无法拉起的症状，概率估计 ~25%
③ 以上都不是（请补充症状描述）
请回复 ① ② 或 ③ 完成确认。</t>
        </is>
      </c>
    </row>
    <row r="131">
      <c r="A131" t="inlineStr">
        <is>
          <t>Q2026042101522</t>
        </is>
      </c>
      <c r="B131" t="inlineStr">
        <is>
          <t>HCI</t>
        </is>
      </c>
      <c r="C131" t="inlineStr">
        <is>
          <t>6.11.1</t>
        </is>
      </c>
      <c r="D131" t="inlineStr">
        <is>
          <t>虚拟机无法关机协助处理</t>
        </is>
      </c>
      <c r="E131" t="inlineStr">
        <is>
          <t>虚拟机</t>
        </is>
      </c>
      <c r="F131" t="inlineStr">
        <is>
          <t>虚拟机开关机</t>
        </is>
      </c>
      <c r="G131" t="inlineStr">
        <is>
          <t>根据客户描述“虚拟机无法关机”，您的问题可能属于以下故障之一，请确认：
① **虚拟机-004 虚拟机关机失败**
   判断依据：客户明确描述“虚拟机无法关机”，直接对应虚拟机生命周期管理中的关机操作失败场景，概率估计 ~95%
③ 以上都不是（请补充症状描述）
请回复 ① 或 ③ 完成确认。</t>
        </is>
      </c>
    </row>
    <row r="132">
      <c r="A132" t="inlineStr">
        <is>
          <t>Q2026042100831</t>
        </is>
      </c>
      <c r="B132" t="inlineStr">
        <is>
          <t>HCI</t>
        </is>
      </c>
      <c r="C132" t="inlineStr"/>
      <c r="D132" t="inlineStr">
        <is>
          <t>单台虚拟机内部重启</t>
        </is>
      </c>
      <c r="E132" t="inlineStr">
        <is>
          <t>虚拟机</t>
        </is>
      </c>
      <c r="F132" t="inlineStr">
        <is>
          <t>虚拟机开关机</t>
        </is>
      </c>
      <c r="G132" t="inlineStr">
        <is>
          <t>根据您的描述“单台虚拟机内部重启”，这通常指虚拟机操作系统层面自发重启或出现重启现象。结合 HCI 故障特征，这可能与操作系统内部崩溃或重启操作本身受阻有关。
您的问题可能属于以下故障之一，请确认：
① **虚拟机-042 虚拟机内部蓝屏**
   判断依据：描述为“内部重启”，常见原因是 Windows 蓝屏或 Linux 内核崩溃导致系统自动重启，概率估计 ~60%
② **虚拟机-005 虚拟机重启失败**
   判断依据：若用户意图是“在虚拟机内部执行重启操作”但操作卡住或未生效，则属于重启任务失败，概率估计 ~30%
③ 以上都不是（请补充症状描述）
请回复 ① ② 或 ③ 完成确认。</t>
        </is>
      </c>
    </row>
    <row r="133">
      <c r="A133" t="inlineStr">
        <is>
          <t>Q2026042100814</t>
        </is>
      </c>
      <c r="B133" t="inlineStr">
        <is>
          <t>HCI</t>
        </is>
      </c>
      <c r="C133" t="inlineStr"/>
      <c r="D133" t="inlineStr">
        <is>
          <t>虚拟机离线的状态 开机都开不了 编辑都是灰色的 有2个虚拟机 开机提示 虚拟机镜像忙
影响业务</t>
        </is>
      </c>
      <c r="E133" t="inlineStr">
        <is>
          <t>虚拟机</t>
        </is>
      </c>
      <c r="F133" t="inlineStr">
        <is>
          <t>虚拟机开关机</t>
        </is>
      </c>
      <c r="G133" t="inlineStr">
        <is>
          <t>根据客户描述“虚拟机离线状态无法开机，编辑选项灰色，提示‘虚拟机镜像忙’”，这表明虚拟机处于一种任务阻塞或锁定的状态。问题可能属于以下故障之一，请确认：
① 虚拟机-003 虚拟机开机失败
   判断依据：客户明确描述“开机都开不了”且有具体报错“虚拟机镜像忙”，直接对应开机操作失败场景，概率估计 ~60%
② 虚拟机-039 虚拟机卡死无响应
   判断依据：虚拟机“编辑都是灰色的”且提示镜像忙，暗示虚拟机进程或管理平面可能处于僵死或任务卡死状态，导致无法进行任何生命周期操作，概率估计 ~35%
③ 以上都不是（请补充症状描述）
请回复 ① ② 或 ③ 完成确认。</t>
        </is>
      </c>
    </row>
    <row r="134">
      <c r="A134" t="inlineStr">
        <is>
          <t>Q2026042100700</t>
        </is>
      </c>
      <c r="B134" t="inlineStr">
        <is>
          <t>HCI</t>
        </is>
      </c>
      <c r="C134" t="inlineStr">
        <is>
          <t>HCI6.7.0R2</t>
        </is>
      </c>
      <c r="D134">
        <f>===海外工单信息====
    海外工单ID：20260414860040
    事件等级：Priority3
    产品线：HCI::6.7.0R2
====客户信息====
    客户ID：571
    客户MDM ID：null
    客户名称：Tele-Paper (M) Sdn Bhd
    客户区域：Malaysia
    客户类型：null
====工单信息====
设备部署模式：HCI 6.7.0R2
客户背景： Tele-Paper (M) Sdn Bhd（马来）
问题现象：虚拟机内部自动重启
排查过程：研发协助排查处理
重要备注：-
是否已开群（企微）：是
企微群名：【马来】【虚拟机内部自动重启】</f>
        <v/>
      </c>
      <c r="E134" t="inlineStr">
        <is>
          <t>虚拟机</t>
        </is>
      </c>
      <c r="F134" t="inlineStr">
        <is>
          <t>虚拟机开关机</t>
        </is>
      </c>
      <c r="G134" t="inlineStr">
        <is>
          <t>根据当前输入信息为空（nan），无法提取有效故障特征或实体信息，不符合任何已知故障分类的特征匹配条件。
由于缺乏有效信息，暂无推荐分类候选。
③ 以上都不是（请补充症状描述）
请回复 ③ 完成确认。</t>
        </is>
      </c>
    </row>
    <row r="135">
      <c r="A135" t="inlineStr">
        <is>
          <t>Q2026042100460</t>
        </is>
      </c>
      <c r="B135" t="inlineStr">
        <is>
          <t>HCI</t>
        </is>
      </c>
      <c r="C135" t="inlineStr"/>
      <c r="D135" t="inlineStr">
        <is>
          <t>打开虚拟机失败，</t>
        </is>
      </c>
      <c r="E135" t="inlineStr">
        <is>
          <t>虚拟机</t>
        </is>
      </c>
      <c r="F135" t="inlineStr">
        <is>
          <t>虚拟机开关机</t>
        </is>
      </c>
      <c r="G135" t="inlineStr">
        <is>
          <t>根据用户描述“打开虚拟机失败”，该问题直接对应虚拟机生命周期的启动操作异常。您的问题可能属于以下故障之一，请确认：
① 虚拟机-003 虚拟机开机失败
   判断依据：用户描述明确提及“打开虚拟机失败”，精准匹配虚拟机开机失败场景，概率估计 ~99%
③ 以上都不是（请补充症状描述）
请回复 ① 或 ③ 完成确认。</t>
        </is>
      </c>
    </row>
    <row r="136">
      <c r="A136" t="inlineStr">
        <is>
          <t>Q2026042100413</t>
        </is>
      </c>
      <c r="B136" t="inlineStr">
        <is>
          <t>HCI</t>
        </is>
      </c>
      <c r="C136" t="inlineStr">
        <is>
          <t>HCI6.11.1_R1</t>
        </is>
      </c>
      <c r="D136" t="inlineStr">
        <is>
          <t>两主机   存储网故障 scp虚拟机无法开机  其他虚拟机正常</t>
        </is>
      </c>
      <c r="E136" t="inlineStr">
        <is>
          <t>虚拟机</t>
        </is>
      </c>
      <c r="F136" t="inlineStr">
        <is>
          <t>虚拟机开关机</t>
        </is>
      </c>
      <c r="G136" t="inlineStr">
        <is>
          <t>根据您的描述，故障现象集中在“虚拟机无法开机”且伴随“存储网故障”提示，分析如下：
① 虚拟机-003 虚拟机开机失败
   判断依据：用户明确描述“scp虚拟机无法开机”，这是最直接的故障表象，概率估计 ~60%
② 网络-008 主机存储网丢包或不通
   判断依据：用户明确指出“存储网故障”，可能是导致开机失败的底层原因，概率估计 ~30%
③ 以上都不是（请补充症状描述）
请回复 ① ② 或 ③ 完成确认。</t>
        </is>
      </c>
    </row>
    <row r="137">
      <c r="A137" t="inlineStr">
        <is>
          <t>Q2026042100220</t>
        </is>
      </c>
      <c r="B137" t="inlineStr">
        <is>
          <t>HCI</t>
        </is>
      </c>
      <c r="C137" t="inlineStr">
        <is>
          <t>6.9.1</t>
        </is>
      </c>
      <c r="D137" t="inlineStr">
        <is>
          <t>周六学校停电，有关闭过超融合，重启后有几个安全设备无法访问</t>
        </is>
      </c>
      <c r="E137" t="inlineStr">
        <is>
          <t>虚拟机</t>
        </is>
      </c>
      <c r="F137" t="inlineStr">
        <is>
          <t>虚拟机开关机</t>
        </is>
      </c>
      <c r="G137" t="inlineStr">
        <is>
          <t>根据客户描述“重启后有几个安全设备无法访问”，结合断电重启场景，核心在于虚拟机业务未恢复。
根据该场景特征，您的问题可能属于以下故障之一，请确认：
① 虚拟机-003 虚拟机开机失败
   判断依据：断电重启后，虚拟机（安全设备）可能因未配置“随主机启动”、启动依赖超时或资源不足导致未能自动运行，处于关机或挂起状态，概率估计 ~70%
② 虚拟机-049 虚拟机网络丢包或不通
   判断依据：若虚拟机已处于运行状态但仍无法访问，可能是物理交换机端口需重新学习MAC、STP收敛慢或虚拟网络配置异常导致连通性中断，概率估计 ~25%
③ 以上都不是（请补充症状描述）
请回复 ① ② 或 ③ 完成确认。</t>
        </is>
      </c>
    </row>
    <row r="138">
      <c r="A138" t="inlineStr">
        <is>
          <t>Q2026042001944</t>
        </is>
      </c>
      <c r="B138" t="inlineStr">
        <is>
          <t>HCI</t>
        </is>
      </c>
      <c r="C138" t="inlineStr">
        <is>
          <t>6.9.1</t>
        </is>
      </c>
      <c r="D138" t="inlineStr">
        <is>
          <t>虚拟机开机失败，报错有进程执行</t>
        </is>
      </c>
      <c r="E138" t="inlineStr">
        <is>
          <t>虚拟机</t>
        </is>
      </c>
      <c r="F138" t="inlineStr">
        <is>
          <t>虚拟机开关机</t>
        </is>
      </c>
      <c r="G138" t="inlineStr">
        <is>
          <t>根据用户描述明确指出“虚拟机开机失败”以及具体的报错信息“有进程执行”，您的问题可能属于以下故障之一，请确认：
① 虚拟机-003 虚拟机开机失败
   判断依据：用户直接描述了“虚拟机开机失败”的动作，且报错“有进程执行”通常表示后台任务冲突或状态锁定导致开机流程无法完成，符合开机失败类故障特征。概率估计 ~95%
③ 以上都不是（请补充症状描述）
请回复 ① 或 ③ 完成确认。</t>
        </is>
      </c>
    </row>
    <row r="139">
      <c r="A139" t="inlineStr">
        <is>
          <t>Q2026042001918</t>
        </is>
      </c>
      <c r="B139" t="inlineStr">
        <is>
          <t>HCI</t>
        </is>
      </c>
      <c r="C139" t="inlineStr">
        <is>
          <t>6.11.1</t>
        </is>
      </c>
      <c r="D139" t="inlineStr">
        <is>
          <t>客户背景我补充一下：客户是遵义医疗圈子的头部客户，今年我们才刚刚突破。当时是分院区采购的我司超融合，主院区使用的是华为的超融合。2025年9.25华为的超融合出现问题，客户紧急抽调了分院区我司超融合（新设备）1台跑电子病历，2026年4月20日，服务器异常宕机。需协助进行日志排查。</t>
        </is>
      </c>
      <c r="E139" t="inlineStr">
        <is>
          <t>虚拟机</t>
        </is>
      </c>
      <c r="F139" t="inlineStr">
        <is>
          <t>虚拟机开关机</t>
        </is>
      </c>
      <c r="G139" t="inlineStr">
        <is>
          <t>根据客户描述中的“服务器异常宕机”及“单台设备运行电子病历”的背景，需区分物理主机故障与虚拟机业务中断两种情况。您的问题可能属于以下故障之一，请确认：
① **平台-005 主机离线或异常重启**
   判断依据：客户描述“服务器异常宕机”，在HCI语境中通常指物理主机节点异常关机、掉电或重启，导致管理平台无法连接该主机，概率估计 ~70%
② **虚拟机-039 虚拟机卡死无响应**
   判断依据：客户将虚拟机业务（电子病历）称为“服务器”，若物理主机在线但虚拟机内部操作系统崩溃、蓝屏或假死，客户亦可能描述为“服务器宕机”，概率估计 ~25%
③ 以上都不是（请补充症状描述）
请回复 ① ② 或 ③ 完成确认。</t>
        </is>
      </c>
    </row>
    <row r="140">
      <c r="A140" t="inlineStr">
        <is>
          <t>Q2026042001819</t>
        </is>
      </c>
      <c r="B140" t="inlineStr">
        <is>
          <t>HCI</t>
        </is>
      </c>
      <c r="C140" t="inlineStr"/>
      <c r="D140" t="inlineStr">
        <is>
          <t>HCI ，虚拟机，存储C盘改大，导致虚拟机无法开机，想把存储改回去。显示windows启动器，windows未能启动，状态0xc0000001 ,无法远程需要通过电话和微信的方式协助处理。</t>
        </is>
      </c>
      <c r="E140" t="inlineStr">
        <is>
          <t>虚拟机</t>
        </is>
      </c>
      <c r="F140" t="inlineStr">
        <is>
          <t>虚拟机开关机</t>
        </is>
      </c>
      <c r="G140" t="inlineStr">
        <is>
          <t>根据客户描述“虚拟机C盘改大后无法开机”以及具体的错误代码“0xc0000001”，问题属于虚拟机操作系统层面的引导故障，而非平台层面的开机任务失败。
您的问题可能属于以下故障分类，请确认：
① 虚拟机-042 虚拟机内部蓝屏
   判断依据：客户明确指出虚拟机启动时报错“windows未能启动，状态0xc0000001”。该错误代码属于 Windows 引导配置数据（BCD）损坏或分区调整后的引导失败，在 HCI 运维中归类为虚拟机内部系统异常（蓝屏/启动失败），概率估计 ~95%
② 以上都不是（请补充症状描述）
请回复 ① 或 ② 完成确认。</t>
        </is>
      </c>
    </row>
    <row r="141">
      <c r="A141" t="inlineStr">
        <is>
          <t>Q2026042001424</t>
        </is>
      </c>
      <c r="B141" t="inlineStr">
        <is>
          <t>HCI</t>
        </is>
      </c>
      <c r="C141" t="inlineStr">
        <is>
          <t>6.10.0_R2</t>
        </is>
      </c>
      <c r="D141" t="inlineStr">
        <is>
          <t>Windows server 2008 R2 启动不了 修复引导未恢复</t>
        </is>
      </c>
      <c r="E141" t="inlineStr">
        <is>
          <t>虚拟机</t>
        </is>
      </c>
      <c r="F141" t="inlineStr">
        <is>
          <t>虚拟机开关机</t>
        </is>
      </c>
      <c r="G141" t="inlineStr">
        <is>
          <t>根据客户描述“Windows server 2008 R2 启动不了，修复引导未恢复”，关键信息在于“修复引导”这一动作，这表明虚拟机能够进入启动流程（平台层开机任务大概率成功），故障定位于操作系统内部的引导配置或文件损坏。
您的问题可能属于以下故障之一，请确认：
① **虚拟机-043 虚拟机内部软件使用异常**
   判断依据：客户已尝试“修复引导”，说明故障现象为操作系统层面无法正常启动，非平台层开机任务失败，归属于虚拟机内部系统软件/配置异常，概率估计 ~80%
② **虚拟机-003 虚拟机开机失败**
   判断依据：客户描述“启动不了”较宽泛，需排除是否因平台层资源不足、存储中断等导致的开机任务报错，概率估计 ~15%
③ 以上都不是（请补充症状描述）
请回复 ① ② 或 ③ 完成确认。</t>
        </is>
      </c>
    </row>
    <row r="142">
      <c r="A142" t="inlineStr">
        <is>
          <t>Q2026042001132</t>
        </is>
      </c>
      <c r="B142" t="inlineStr">
        <is>
          <t>HCI</t>
        </is>
      </c>
      <c r="C142" t="inlineStr">
        <is>
          <t>6.10.0R2</t>
        </is>
      </c>
      <c r="D142" t="inlineStr">
        <is>
          <t>虚拟机重启查原因</t>
        </is>
      </c>
      <c r="E142" t="inlineStr">
        <is>
          <t>虚拟机</t>
        </is>
      </c>
      <c r="F142" t="inlineStr">
        <is>
          <t>虚拟机开关机</t>
        </is>
      </c>
      <c r="G142" t="inlineStr">
        <is>
          <t>根据您提供的“虚拟机重启查原因”描述，这通常指向虚拟机发生了非预期的重启行为，或者重启操作本身存在问题。结合 HCI 平台机制，虚拟机非计划重启通常由 HA 机制触发或主机故障导致。
请确认以下最匹配的故障分类：
① 虚拟机-033 虚拟机异常HA
   判断依据：用户需“查原因”，通常暗示虚拟机发生了非预期的自动重启。在 HCI 中，这最常见于主机故障或服务异常导致的 HA（高可用）切换，概率估计 ~60%
② 虚拟机-005 虚拟机重启失败
   判断依据：涵盖了“重启”关键词，若用户是指执行重启操作后虚拟机未能正常启动或处于卡死状态，则归为此类，概率估计 ~30%
③ 以上都不是（请补充症状描述）
请回复 ① ② 或 ③ 完成确认。</t>
        </is>
      </c>
    </row>
    <row r="143">
      <c r="A143" t="inlineStr">
        <is>
          <t>Q2026042000462</t>
        </is>
      </c>
      <c r="B143" t="inlineStr">
        <is>
          <t>HCI</t>
        </is>
      </c>
      <c r="C143" t="inlineStr">
        <is>
          <t>6.11.1</t>
        </is>
      </c>
      <c r="D143" t="inlineStr">
        <is>
          <t>虚拟机开机提示主机显卡异常</t>
        </is>
      </c>
      <c r="E143" t="inlineStr">
        <is>
          <t>虚拟机</t>
        </is>
      </c>
      <c r="F143" t="inlineStr">
        <is>
          <t>虚拟机开关机</t>
        </is>
      </c>
      <c r="G143" t="inlineStr">
        <is>
          <t>根据您的描述，故障现象明确指向虚拟机生命周期管理中的“开机”动作受阻，具体报错涉及显卡资源。虽然报错提到了显卡，但故障触发的业务场景是虚拟机开机，因此优先归入虚拟机域。
请您确认以下故障分类：
① **虚拟机-003 虚拟机开机失败**
   判断依据：客户描述“虚拟机开机提示...”，明确指向虚拟机启动操作失败。虽然错误提示涉及“主机显卡异常”，但这属于导致开机失败的底层资源原因，在故障分类树中，虚拟机生命周期动作失败优先归类于虚拟机域，概率估计 ~90%
③ 以上都不是（请补充症状描述）
请回复 ① 或 ③ 完成确认。</t>
        </is>
      </c>
    </row>
    <row r="144">
      <c r="A144" t="inlineStr">
        <is>
          <t>Q2026042000367</t>
        </is>
      </c>
      <c r="B144" t="inlineStr">
        <is>
          <t>HCI</t>
        </is>
      </c>
      <c r="C144" t="inlineStr">
        <is>
          <t>6.11.1_R1</t>
        </is>
      </c>
      <c r="D144" t="inlineStr">
        <is>
          <t>虚拟机卡死重启也无法恢复，需要协助处理  企微联系</t>
        </is>
      </c>
      <c r="E144" t="inlineStr">
        <is>
          <t>虚拟机</t>
        </is>
      </c>
      <c r="F144" t="inlineStr">
        <is>
          <t>虚拟机开关机</t>
        </is>
      </c>
      <c r="G144" t="inlineStr">
        <is>
          <t>根据用户描述“虚拟机卡死”及“重启也无法恢复”，故障可能涉及虚拟机运行状态异常或生命周期操作失败，请确认以下分类：
① 虚拟机-039 虚拟机卡死无响应
   判断依据：客户描述中明确提到“虚拟机卡死”，这是最直接的症状匹配。概率估计 ~60%
② 虚拟机-005 虚拟机重启失败
   判断依据：客户描述“重启也无法恢复”，暗示执行重启操作后问题未解决或操作本身遇到阻碍。概率估计 ~35%
③ 以上都不是（请补充症状描述）
请回复 ① ② 或 ③ 完成确认。</t>
        </is>
      </c>
    </row>
    <row r="145">
      <c r="A145" t="inlineStr">
        <is>
          <t>Q2026042000010</t>
        </is>
      </c>
      <c r="B145" t="inlineStr">
        <is>
          <t>HCI</t>
        </is>
      </c>
      <c r="C145" t="inlineStr"/>
      <c r="D145" t="inlineStr">
        <is>
          <t>HCI虚拟机开机失败，</t>
        </is>
      </c>
      <c r="E145" t="inlineStr">
        <is>
          <t>虚拟机</t>
        </is>
      </c>
      <c r="F145" t="inlineStr">
        <is>
          <t>虚拟机开关机</t>
        </is>
      </c>
      <c r="G145" t="inlineStr">
        <is>
          <t>根据用户描述“HCI虚拟机开机失败”与分类基准名称高度一致，您的问题可能属于以下故障之一，请确认：
① 虚拟机-003 虚拟机开机失败
   判断依据：客户描述“HCI虚拟机开机失败”与该分类名称完全匹配，属于最直接的症状定义，概率估计 ~95%
③ 以上都不是（请补充症状描述）
请回复 ① 或 ③ 完成确认。</t>
        </is>
      </c>
    </row>
    <row r="146">
      <c r="A146" t="inlineStr">
        <is>
          <t>Q2026041900112</t>
        </is>
      </c>
      <c r="B146" t="inlineStr">
        <is>
          <t>HCI</t>
        </is>
      </c>
      <c r="C146" t="inlineStr">
        <is>
          <t>6.8.0_R2</t>
        </is>
      </c>
      <c r="D146" t="inlineStr">
        <is>
          <t>有一个linux虚拟机重置了root密码，但是进不去</t>
        </is>
      </c>
      <c r="E146" t="inlineStr">
        <is>
          <t>虚拟机</t>
        </is>
      </c>
      <c r="F146" t="inlineStr">
        <is>
          <t>虚拟机开关机</t>
        </is>
      </c>
      <c r="G146" t="inlineStr">
        <is>
          <t>根据您描述的“重置root密码”操作后无法进入系统的现象，您的问题可能属于以下故障分类，请确认：
① 虚拟机-045 虚拟机密码重置
   判断依据：用户明确描述执行了“重置root密码”动作，且后续出现“进不去”（认证失败或无法登录）的结果，直接对应密码重置功能类故障。概率估计 ~95%
③ 以上都不是（请补充症状描述）
请回复 ① 或 ③ 完成确认。</t>
        </is>
      </c>
    </row>
    <row r="147">
      <c r="A147" t="inlineStr">
        <is>
          <t>Q2026041900081</t>
        </is>
      </c>
      <c r="B147" t="inlineStr">
        <is>
          <t>HCI</t>
        </is>
      </c>
      <c r="C147" t="inlineStr">
        <is>
          <t>HCI6.11.1_R1</t>
        </is>
      </c>
      <c r="D147" t="inlineStr">
        <is>
          <t>hci部分虚拟机起不来，提示数据重建失败，需要协助处理</t>
        </is>
      </c>
      <c r="E147" t="inlineStr">
        <is>
          <t>虚拟机</t>
        </is>
      </c>
      <c r="F147" t="inlineStr">
        <is>
          <t>虚拟机开关机</t>
        </is>
      </c>
      <c r="G147" t="inlineStr">
        <is>
          <t>根据客户描述“虚拟机起不来”且明确“提示数据重建失败”，故障现象直接指向存储层数据问题导致了虚拟机开机异常。数据重建失败通常意味着存储副本处于降级或不可用状态，无法支撑虚拟机运行。
您的问题可能属于以下故障之一，请确认：
① 存储-011 数据重建失败或卡住
   判断依据：描述中明确提及“提示数据重建失败”，虚拟机无法启动通常是因为底层数据副本未恢复或处于异常状态导致，概率估计 ~70%
② 虚拟机-003 虚拟机开机失败
   判断依据：客户核心诉求为“虚拟机起不来”，这是最直接的业务层表象，概率估计 ~30%
③ 以上都不是（请补充症状描述）
请回复 ① ② 或 ③ 完成确认。</t>
        </is>
      </c>
    </row>
    <row r="148">
      <c r="A148" t="inlineStr">
        <is>
          <t>Q2026041800197</t>
        </is>
      </c>
      <c r="B148" t="inlineStr">
        <is>
          <t>HCI</t>
        </is>
      </c>
      <c r="C148" t="inlineStr">
        <is>
          <t>6.10.0_R2</t>
        </is>
      </c>
      <c r="D148" t="inlineStr">
        <is>
          <t>更换了数据盘，数据同步一直没同步完，一台虚拟机重启没起来</t>
        </is>
      </c>
      <c r="E148" t="inlineStr">
        <is>
          <t>虚拟机</t>
        </is>
      </c>
      <c r="F148" t="inlineStr">
        <is>
          <t>虚拟机开关机</t>
        </is>
      </c>
      <c r="G148" t="inlineStr">
        <is>
          <t>根据您提供的“更换数据盘后数据同步未完成”且“虚拟机重启失败”的现象，问题可能涉及存储底层重建异常导致虚拟机运行受阻，或虚拟机本身启动过程故障。请确认以下分类：
① 存储-011 数据重建失败或卡住
   判断依据：客户描述“更换了数据盘，数据同步一直没同步完”，明确指向数据重建任务异常，概率估计 ~60%
② 虚拟机-005 虚拟机重启失败
   判断依据：客户描述“一台虚拟机重启没起来”，直接对应虚拟机重启操作失败的症状，概率估计 ~40%
③ 以上都不是（请补充症状描述）
请回复 ① ② 或 ③ 完成确认。</t>
        </is>
      </c>
    </row>
    <row r="149">
      <c r="A149" t="inlineStr">
        <is>
          <t>Q2026041701796</t>
        </is>
      </c>
      <c r="B149" t="inlineStr">
        <is>
          <t>HCI</t>
        </is>
      </c>
      <c r="C149" t="inlineStr">
        <is>
          <t>6.0.0R4</t>
        </is>
      </c>
      <c r="D149" t="inlineStr">
        <is>
          <t>3D HCI集群，断电了，重新开机以后，虚拟机能开机，进不去系统，所有主机的所有磁盘都在同步，三个同步任务， 50% 任务就卡住了，虚拟机开机卡黑屏。影响核心业务</t>
        </is>
      </c>
      <c r="E149" t="inlineStr">
        <is>
          <t>虚拟机</t>
        </is>
      </c>
      <c r="F149" t="inlineStr">
        <is>
          <t>虚拟机开关机</t>
        </is>
      </c>
      <c r="G149" t="inlineStr">
        <is>
          <t>根据您提供的“断电重启后磁盘同步卡住、虚拟机黑屏”的症状描述，问题可能属于以下故障之一，请确认：
① 存储-008 数据同步失败或卡住
   判断依据：客户描述“所有主机的所有磁盘都在同步，三个同步任务，50% 任务就卡住了”，断电后存储元数据一致性检查或数据恢复任务停滞，直接导致存储IO无法响应，进而引发虚拟机黑屏。概率估计 ~70%
② 虚拟机-003 虚拟机开机失败
   判断依据：客户描述“虚拟机能开机，进不去系统...虚拟机开机卡黑屏”，表现为虚拟机启动过程中因底层存储I/O阻塞而无法进入系统，从业务影响层面确认为开机失败。概率估计 ~25%
③ 以上都不是（请补充症状描述）
请回复 ① ② 或 ③ 完成确认。</t>
        </is>
      </c>
    </row>
    <row r="150">
      <c r="A150" t="inlineStr">
        <is>
          <t>Q2026041701727</t>
        </is>
      </c>
      <c r="B150" t="inlineStr">
        <is>
          <t>HCI</t>
        </is>
      </c>
      <c r="C150" t="inlineStr">
        <is>
          <t>HCI6.0.1</t>
        </is>
      </c>
      <c r="D150" t="inlineStr">
        <is>
          <t>单个虚拟机无法开机</t>
        </is>
      </c>
      <c r="E150" t="inlineStr">
        <is>
          <t>虚拟机</t>
        </is>
      </c>
      <c r="F150" t="inlineStr">
        <is>
          <t>虚拟机开关机</t>
        </is>
      </c>
      <c r="G150" t="inlineStr">
        <is>
          <t>根据 用户描述明确指出“单个虚拟机无法开机”，您的问题可能属于以下故障之一，请确认：
① 虚拟机-003 虚拟机开机失败
   判断依据：用户描述“单个虚拟机无法开机”与该分类定义直接匹配，概率估计 ~95%
③ 以上都不是（请补充症状描述）
请回复 ① 或 ③ 完成确认。</t>
        </is>
      </c>
    </row>
    <row r="151">
      <c r="A151" t="inlineStr">
        <is>
          <t>Q2026041701389</t>
        </is>
      </c>
      <c r="B151" t="inlineStr">
        <is>
          <t>HCI</t>
        </is>
      </c>
      <c r="C151" t="inlineStr">
        <is>
          <t>6.10.0_R2</t>
        </is>
      </c>
      <c r="D151" t="inlineStr">
        <is>
          <t>【服务升级】：服务商通过数字化服务平台发起服务升级，请尽快联系服务商处理！&lt;br&gt;【工单描述】：虚拟机重启后开机提示找不到操作系统</t>
        </is>
      </c>
      <c r="E151" t="inlineStr">
        <is>
          <t>虚拟机</t>
        </is>
      </c>
      <c r="F151" t="inlineStr">
        <is>
          <t>虚拟机开关机</t>
        </is>
      </c>
      <c r="G151" t="inlineStr">
        <is>
          <t>根据用户描述“虚拟机重启后开机提示找不到操作系统”，该症状表明虚拟机已成功启动（进入BIOS/自检阶段），但在引导过程中无法定位系统盘或引导文件，属于虚拟机内部系统引导层面的异常。
经分析，您的问题可能属于以下故障之一，请确认：
① **虚拟机-044 虚拟机内部空间或文件系统异常**
   判断依据：用户描述“提示找不到操作系统”，通常意味着虚拟机启动时引导扇区（MBR/GPT）损坏、系统盘分区表丢失或文件系统损坏，导致无法加载OS，概率估计 ~70%
② **虚拟机-048 虚拟机数据丢失**
   判断依据：若系统盘关键引导文件丢失或被误删，也会导致“找不到操作系统”的提示，概率估计 ~25%
③ 以上都不是（请补充症状描述）
请回复 ① ② 或 ③ 完成确认。</t>
        </is>
      </c>
    </row>
    <row r="152">
      <c r="A152" t="inlineStr">
        <is>
          <t>Q2026041701266</t>
        </is>
      </c>
      <c r="B152" t="inlineStr">
        <is>
          <t>HCI</t>
        </is>
      </c>
      <c r="C152" t="inlineStr">
        <is>
          <t>HCI6.11.1</t>
        </is>
      </c>
      <c r="D152">
        <f>===海外工单信息====
    海外工单ID：20260409860043
    事件等级：Priority3
    产品线：HCI::6.11.1
====客户信息====
    客户ID：4587
    客户MDM ID：1eeaa9ab169c1e6832c833a0c7c357b4
    客户名称：PT. SAT NUSAPERSADA TBK【Indonesia】
    客户区域：Indonesia
    客户类型：
====工单信息====
设备部署模式：HCI 6.11.1
客户背景： PT Sat Nusapersada Tbk
问题现象： 在4月8日的21:45-22:30左右，全部虚拟机有down的情况
排查过程：
1. 前台告警看到202主机（主控）离线，存储只有备份存储离线
2. 分析日志：
a. uptime发现21:47开始CPU负载剧增  
b. ps日志发现很多D住进程，且内核有hung_task堆栈  
c. vn-blackbox看确实ping去其他主机都是失败的
d. 有个iSCSI存储有大量的加锁失败日志，目前怀疑与这个有关；可是内核无相关报错，且无iscsid/multipathd日志  
重要备注： 当天受影响，目前一切正常
是否已开群（企微）：是
企微群名：【20260409860043 】【PT. SAT NUSAPERSADA TBK】【虚拟机全down】</f>
        <v/>
      </c>
      <c r="E152" t="inlineStr">
        <is>
          <t>虚拟机</t>
        </is>
      </c>
      <c r="F152" t="inlineStr">
        <is>
          <t>虚拟机开关机</t>
        </is>
      </c>
      <c r="G152" t="inlineStr">
        <is>
          <t>根据排查过程中发现的“202主机（主控）离线”、“CPU负载剧增”、“D状态进程”、“hung_task”以及“iSCSI存储加锁失败”等关键信息，这表明主机系统出现了严重的假死或崩溃状态，进而导致虚拟机全部宕机。
请确认以下故障分类：
① **平台-005 主机离线或异常重启**
   判断依据：前台告警显示“202主机（主控）离线”，系统日志存在“hung_task堆栈”及大量“D住进程”，这是典型的主机系统假死或内核崩溃导致离线的特征，直接导致了虚拟机全down。概率估计 ~70%
② **存储-036 ISCSI存储性能告警**
   判断依据：日志显示“iSCSI存储有大量的加锁失败日志”，且系统出现大量“D住进程”（不可中断睡眠），通常是因为存储IO无响应导致主机进程挂起，怀疑存储侧异常是导致主机假死的诱因。概率估计 ~25%
③ 以上都不是（请补充症状描述）
请回复 ① ② 或 ③ 完成确认。</t>
        </is>
      </c>
    </row>
    <row r="153">
      <c r="A153" t="inlineStr">
        <is>
          <t>Q2026041700981</t>
        </is>
      </c>
      <c r="B153" t="inlineStr">
        <is>
          <t>HCI</t>
        </is>
      </c>
      <c r="C153" t="inlineStr">
        <is>
          <t>6.11.1_R1</t>
        </is>
      </c>
      <c r="D153" t="inlineStr">
        <is>
          <t>虚拟机异常重启，协助排查原因</t>
        </is>
      </c>
      <c r="E153" t="inlineStr">
        <is>
          <t>虚拟机</t>
        </is>
      </c>
      <c r="F153" t="inlineStr">
        <is>
          <t>虚拟机开关机</t>
        </is>
      </c>
      <c r="G153" t="inlineStr">
        <is>
          <t>根据 [客户描述“虚拟机异常重启”]，您的问题可能属于以下故障之一，请确认：
① 虚拟机-033 虚拟机异常HA
   判断依据：虚拟机在非人为操作下发生重启，通常是HCI平台高可用机制（HA）被触发（如宿主机故障、心跳丢失），概率估计 ~60%
② 平台-005 主机离线或异常重启
   判断依据：虚拟机重启也可能是由宿主机（物理机）发生异常重启或掉电导致，需确认宿主机状态，概率估计 ~30%
③ 以上都不是（请补充症状描述）
请回复 ① ② 或 ③ 完成确认。</t>
        </is>
      </c>
    </row>
    <row r="154">
      <c r="A154" t="inlineStr">
        <is>
          <t>Q2026041700935</t>
        </is>
      </c>
      <c r="B154" t="inlineStr">
        <is>
          <t>HCI</t>
        </is>
      </c>
      <c r="C154" t="inlineStr">
        <is>
          <t>HCI6.11.1_R1</t>
        </is>
      </c>
      <c r="D154" t="inlineStr">
        <is>
          <t>华为泰山服务器 CPU是鲲鹏 安装了ARM架构的HCI；安装完系统后就全剩下机械盘了，目前机械盘创建了本地存储，导入了SCP，开机一直卡在82%循环启动，校验过md5没有问题，也导入到其他机械盘测试也是一样的效果，协助确认是平台软件异常还是性能问题</t>
        </is>
      </c>
      <c r="E154" t="inlineStr">
        <is>
          <t>虚拟机</t>
        </is>
      </c>
      <c r="F154" t="inlineStr">
        <is>
          <t>虚拟机开关机</t>
        </is>
      </c>
      <c r="G154" t="inlineStr">
        <is>
          <t>根据您提供的故障现象“虚拟机开机卡在 82% 循环启动”，结合“ARM 架构 + 机械盘本地存储”的环境特征，主要判断为虚拟机开机流程受阻。
您的问题可能属于以下故障分类，请确认：
① **虚拟机-003 虚拟机开机失败**
   判断依据：客户明确描述“开机一直卡在82%循环启动”，这属于典型的虚拟机启动阶段异常。虽然客户怀疑是性能问题，但在 HCI 平台层面，开机进度条长时间卡顿或循环通常归类于开机失败类故障（可能涉及 IO 阻塞、兼容性或镜像问题），概率估计 ~90%
② **虚拟机-038 虚拟机IO读写慢**
   判断依据：客户使用的是机械盘创建本地存储，且怀疑“性能问题”。机械盘随机读写性能较差可能导致虚拟机启动读取镜像文件时 IO 挂起，进而表现为开机卡死，概率估计 ~10%
③ 以上都不是（请补充症状描述）
请回复 ① ② 或 ③ 完成确认。</t>
        </is>
      </c>
    </row>
    <row r="155">
      <c r="A155" t="inlineStr">
        <is>
          <t>Q2026041700582</t>
        </is>
      </c>
      <c r="B155" t="inlineStr">
        <is>
          <t>HCI</t>
        </is>
      </c>
      <c r="C155" t="inlineStr">
        <is>
          <t>HCI5.8.5_R1</t>
        </is>
      </c>
      <c r="D155" t="inlineStr">
        <is>
          <t xml:space="preserve">关机一个AF组件，再开机就起不来了，提示虚拟机启动失败，迁移了也不行
</t>
        </is>
      </c>
      <c r="E155" t="inlineStr">
        <is>
          <t>虚拟机</t>
        </is>
      </c>
      <c r="F155" t="inlineStr">
        <is>
          <t>虚拟机开关机</t>
        </is>
      </c>
      <c r="G155" t="inlineStr">
        <is>
          <t>根据客户描述中明确提到的“再开机就起不来了”及“提示虚拟机启动失败”这一核心症状，您的问题可能属于以下故障之一，请确认：
① 虚拟机-003 虚拟机开机失败
   判断依据：客户明确描述“关机一个AF组件，再开机就起不来了，提示虚拟机启动失败”，且尝试迁移后问题依旧，符合虚拟机启动流程受阻的特征。概率估计 ~95%
③ 以上都不是（请补充症状描述）
请回复 ① 或 ③ 完成确认。</t>
        </is>
      </c>
    </row>
    <row r="156">
      <c r="A156" t="inlineStr">
        <is>
          <t>Q2026041700416</t>
        </is>
      </c>
      <c r="B156" t="inlineStr">
        <is>
          <t>HCI</t>
        </is>
      </c>
      <c r="C156" t="inlineStr">
        <is>
          <t>HCI6.11.1</t>
        </is>
      </c>
      <c r="D156" t="inlineStr">
        <is>
          <t>虚拟机开机提示显卡资源不足</t>
        </is>
      </c>
      <c r="E156" t="inlineStr">
        <is>
          <t>虚拟机</t>
        </is>
      </c>
      <c r="F156" t="inlineStr">
        <is>
          <t>虚拟机开关机</t>
        </is>
      </c>
      <c r="G156" t="inlineStr">
        <is>
          <t>根据您提供的「虚拟机开机提示显卡资源不足」描述，这是典型的资源准入失败导致的开机任务中断，请确认分类：
① 虚拟机-003 虚拟机开机失败
   判断依据：用户明确执行了“虚拟机开机”操作，系统返回失败提示“显卡资源不足”，符合虚拟机开机失败定义，概率估计 ~95%
② 以上都不是（请补充症状描述）
请回复 ① 或 ② 完成确认。</t>
        </is>
      </c>
    </row>
    <row r="157">
      <c r="A157" t="inlineStr">
        <is>
          <t>Q2026041700294</t>
        </is>
      </c>
      <c r="B157" t="inlineStr">
        <is>
          <t>HCI</t>
        </is>
      </c>
      <c r="C157" t="inlineStr">
        <is>
          <t>6.7.0_R2</t>
        </is>
      </c>
      <c r="D157" t="inlineStr">
        <is>
          <t>核心his虚拟机开机报错镜像忙</t>
        </is>
      </c>
      <c r="E157" t="inlineStr">
        <is>
          <t>虚拟机</t>
        </is>
      </c>
      <c r="F157" t="inlineStr">
        <is>
          <t>虚拟机开关机</t>
        </is>
      </c>
      <c r="G157" t="inlineStr">
        <is>
          <t>根据 [核心关键词：虚拟机开机、报错镜像忙]，您的问题可能属于以下故障之一，请确认：
① 虚拟机-003 虚拟机开机失败
   判断依据：客户描述明确指出“虚拟机开机”操作无法完成，并伴有“镜像忙”的错误提示，这通常是虚拟机在启动过程中无法挂载磁盘（磁盘被其他进程占用或锁定）导致的典型开机失败场景，概率估计 ~95%
② 虚拟机-009 虚拟机异常挂起
   判断依据：如果虚拟机之前处于运行状态但发生异常，可能导致系统未释放磁盘锁，进而报“镜像忙”，此时虚拟机可能处于异常挂起状态，概率估计 ~10%
③ 以上都不是（请补充症状描述）
请回复 ① ② 或 ③ 完成确认。</t>
        </is>
      </c>
    </row>
    <row r="158">
      <c r="A158" t="inlineStr">
        <is>
          <t>Q2026041700051</t>
        </is>
      </c>
      <c r="B158" t="inlineStr">
        <is>
          <t>HCI</t>
        </is>
      </c>
      <c r="C158" t="inlineStr">
        <is>
          <t>6.7.0</t>
        </is>
      </c>
      <c r="D158" t="inlineStr">
        <is>
          <t>windows2022虚拟机起不来</t>
        </is>
      </c>
      <c r="E158" t="inlineStr">
        <is>
          <t>虚拟机</t>
        </is>
      </c>
      <c r="F158" t="inlineStr">
        <is>
          <t>虚拟机开关机</t>
        </is>
      </c>
      <c r="G158" t="inlineStr">
        <is>
          <t>根据客户描述“windows2022虚拟机起不来”，该问题直接对应虚拟机开机操作异常，判断可能属于以下故障分类，请确认：
① 虚拟机-003 虚拟机开机失败
   判断依据：客户描述“虚拟机起不来”，语义上直接对应虚拟机无法正常启动或开机操作失败的故障场景。概率估计 ~90%
② 虚拟机-042 虚拟机内部蓝屏
   判断依据：Windows系列虚拟机“起不来”常表现为系统启动过程中蓝屏（BSOD）导致无法进入系统，属于常见高频现象。概率估计 ~10%
③ 以上都不是（请补充症状描述）
请回复 ① ② 或 ③ 完成确认。</t>
        </is>
      </c>
    </row>
    <row r="159">
      <c r="A159" t="inlineStr">
        <is>
          <t>Q2026041601842</t>
        </is>
      </c>
      <c r="B159" t="inlineStr">
        <is>
          <t>HCI</t>
        </is>
      </c>
      <c r="C159" t="inlineStr">
        <is>
          <t>与版本无关</t>
        </is>
      </c>
      <c r="D159" t="inlineStr">
        <is>
          <t xml:space="preserve">虚拟机无法开机 </t>
        </is>
      </c>
      <c r="E159" t="inlineStr">
        <is>
          <t>虚拟机</t>
        </is>
      </c>
      <c r="F159" t="inlineStr">
        <is>
          <t>虚拟机开关机</t>
        </is>
      </c>
      <c r="G159" t="inlineStr">
        <is>
          <t>根据用户描述的故障现象，直接对应虚拟机域的核心分类，您的问题可能属于以下故障之一，请确认：
① 虚拟机-003 虚拟机开机失败
   判断依据：用户描述“虚拟机无法开机”，与该分类定义完全一致，概率估计 ~99%
③ 以上都不是（请补充症状描述）
请回复 ① 或 ③ 完成确认。</t>
        </is>
      </c>
    </row>
    <row r="160">
      <c r="A160" t="inlineStr">
        <is>
          <t>Q2026041601641</t>
        </is>
      </c>
      <c r="B160" t="inlineStr">
        <is>
          <t>HCI</t>
        </is>
      </c>
      <c r="C160" t="inlineStr"/>
      <c r="D160" t="inlineStr">
        <is>
          <t>虚拟机开启，提示需要开启 vt-x</t>
        </is>
      </c>
      <c r="E160" t="inlineStr">
        <is>
          <t>虚拟机</t>
        </is>
      </c>
      <c r="F160" t="inlineStr">
        <is>
          <t>虚拟机开关机</t>
        </is>
      </c>
      <c r="G160" t="inlineStr">
        <is>
          <t>根据 [用户描述的虚拟机开启操作失败及具体报错提示]，您的问题可能属于以下故障之一，请确认：
① 虚拟机-003 虚拟机开机失败
   判断依据：用户执行虚拟机开启操作时收到“提示需要开启 vt-x”的错误反馈，直接对应虚拟机无法正常启动的故障现象，概率估计 ~99%
③ 以上都不是（请补充症状描述）
请回复 ① 或 ③ 完成确认。</t>
        </is>
      </c>
    </row>
    <row r="161">
      <c r="A161" t="inlineStr">
        <is>
          <t>Q2026041601412</t>
        </is>
      </c>
      <c r="B161" t="inlineStr">
        <is>
          <t>HCI</t>
        </is>
      </c>
      <c r="C161" t="inlineStr">
        <is>
          <t>HCI6.10.0_R2</t>
        </is>
      </c>
      <c r="D161" t="inlineStr">
        <is>
          <t>会议室的共享虚拟机经常自动关机</t>
        </is>
      </c>
      <c r="E161" t="inlineStr">
        <is>
          <t>虚拟机</t>
        </is>
      </c>
      <c r="F161" t="inlineStr">
        <is>
          <t>虚拟机开关机</t>
        </is>
      </c>
      <c r="G161" t="inlineStr"/>
    </row>
    <row r="162">
      <c r="A162" t="inlineStr">
        <is>
          <t>Q2026041601187</t>
        </is>
      </c>
      <c r="B162" t="inlineStr">
        <is>
          <t>HCI</t>
        </is>
      </c>
      <c r="C162" t="inlineStr">
        <is>
          <t>6.11.1</t>
        </is>
      </c>
      <c r="D162" t="inlineStr">
        <is>
          <t>虚拟机2012 开启高性能虚拟机就开启不了</t>
        </is>
      </c>
      <c r="E162" t="inlineStr">
        <is>
          <t>虚拟机</t>
        </is>
      </c>
      <c r="F162" t="inlineStr">
        <is>
          <t>虚拟机开关机</t>
        </is>
      </c>
      <c r="G162" t="inlineStr">
        <is>
          <t>根据您的描述“虚拟机2012 开启高性能虚拟机就开启不了”，核心现象为虚拟机无法正常进入运行状态。
您的问题可能属于以下故障之一，请确认：
① 虚拟机-003 虚拟机开机失败
   判断依据：用户明确描述虚拟机“开启不了”，直接对应虚拟机生命周期管理中的启动失败场景，概率估计 ~95%
③ 以上都不是（请补充症状描述）
请回复 ① 或 ③ 完成确认。</t>
        </is>
      </c>
    </row>
    <row r="163">
      <c r="A163" t="inlineStr">
        <is>
          <t>Q2026041601110</t>
        </is>
      </c>
      <c r="B163" t="inlineStr">
        <is>
          <t>HCI</t>
        </is>
      </c>
      <c r="C163" t="inlineStr"/>
      <c r="D163" t="inlineStr">
        <is>
          <t xml:space="preserve">HCI680版本，客户说有一台window7系统的虚拟机，迁到A主机的话，重启会一直卡在系统开机界面。迁移到其他主机就恢复正常
</t>
        </is>
      </c>
      <c r="E163" t="inlineStr">
        <is>
          <t>虚拟机</t>
        </is>
      </c>
      <c r="F163" t="inlineStr">
        <is>
          <t>虚拟机开关机</t>
        </is>
      </c>
      <c r="G163" t="inlineStr">
        <is>
          <t>根据用户描述“迁到A主机重启卡在开机界面，迁回其他主机正常”，这是典型的虚拟机在特定宿主机上的运行异常，核心症状为“卡在开机界面”（通常表现为假死或无响应）。
根据故障分类基准，您的问题可能属于以下故障之一，请确认：
① 虚拟机-039 虚拟机卡死无响应
   判断依据：客户描述虚拟机“一直卡在系统开机界面”，符合虚拟机卡死或无响应的典型特征；且故障与特定宿主机相关，概率估计 ~70%
② 虚拟机-003 虚拟机开机失败
   判断依据：故障发生在“重启”过程中，系统未能正常进入桌面，广义上属于开机流程失败，概率估计 ~25%
③ 以上都不是（请补充症状描述）
请回复 ① ② 或 ③ 完成确认。</t>
        </is>
      </c>
    </row>
    <row r="164">
      <c r="A164" t="inlineStr">
        <is>
          <t>Q2026041600322</t>
        </is>
      </c>
      <c r="B164" t="inlineStr">
        <is>
          <t>HCI</t>
        </is>
      </c>
      <c r="C164" t="inlineStr">
        <is>
          <t>HCI6.10.0_R2</t>
        </is>
      </c>
      <c r="D164" t="inlineStr">
        <is>
          <t>vmware迁移到HCI有启动不了  （显示找不到uefi启动项） 已告知 修改为seabios启动</t>
        </is>
      </c>
      <c r="E164" t="inlineStr">
        <is>
          <t>虚拟机</t>
        </is>
      </c>
      <c r="F164" t="inlineStr">
        <is>
          <t>虚拟机开关机</t>
        </is>
      </c>
      <c r="G164" t="inlineStr">
        <is>
          <t>根据客户描述“vmware迁移到HCI有启动不了”及关键报错“显示找不到uefi启动项”，问题定位如下：
① 虚拟机-003 虚拟机开机失败
   判断依据：核心症状为虚拟机迁移后无法正常启动，并提示“找不到uefi启动项”，属于典型的固件模式（BIOS/UEFI）不匹配导致的开机失败，概率估计 ~95%
③ 以上都不是（请补充症状描述）
请回复 ① 或 ③ 完成确认。</t>
        </is>
      </c>
    </row>
    <row r="165">
      <c r="A165" t="inlineStr">
        <is>
          <t>Q2026041600284</t>
        </is>
      </c>
      <c r="B165" t="inlineStr">
        <is>
          <t>HCI</t>
        </is>
      </c>
      <c r="C165" t="inlineStr"/>
      <c r="D165" t="inlineStr">
        <is>
          <t>虚拟机重启后无法开机，提示磁盘镜像无法访问</t>
        </is>
      </c>
      <c r="E165" t="inlineStr">
        <is>
          <t>虚拟机</t>
        </is>
      </c>
      <c r="F165" t="inlineStr">
        <is>
          <t>虚拟机开关机</t>
        </is>
      </c>
      <c r="G165" t="inlineStr">
        <is>
          <t>根据客户描述“虚拟机重启后无法开机”及关键报错“磁盘镜像无法访问”，这是典型的虚拟机启动故障，且错误指向存储链路。
根据故障分类基准，建议归类如下：
① 虚拟机-003 虚拟机开机失败
   判断依据：客户明确描述“虚拟机重启后无法开机”，直接对应虚拟机生命周期管理中的启动故障；报错“磁盘镜像无法访问”属于开机失败四大方向中的“② 存储不可访问”范畴，概率估计 ~95%
③ 以上都不是（请补充症状描述）
请回复 ① 或 ③ 完成确认。</t>
        </is>
      </c>
    </row>
    <row r="166">
      <c r="A166" t="inlineStr">
        <is>
          <t>Q2026041501874</t>
        </is>
      </c>
      <c r="B166" t="inlineStr">
        <is>
          <t>HCI</t>
        </is>
      </c>
      <c r="C166" t="inlineStr">
        <is>
          <t>HCI6.1.0_R1</t>
        </is>
      </c>
      <c r="D166" t="inlineStr">
        <is>
          <t>机房断电来电后，平台存储已经显示正常了，有业务虚拟机启动失败，提示RPC接收消息失败，影响生产业务</t>
        </is>
      </c>
      <c r="E166" t="inlineStr">
        <is>
          <t>虚拟机</t>
        </is>
      </c>
      <c r="F166" t="inlineStr">
        <is>
          <t>虚拟机开关机</t>
        </is>
      </c>
      <c r="G166" t="inlineStr">
        <is>
          <t>根据用户描述“业务虚拟机启动失败”及错误提示“RPC接收消息失败”，结合断电重启场景，问题核心定位在虚拟机生命周期管理环节。
您的问题可能属于以下故障之一，请确认：
① **虚拟机-003 虚拟机开机失败**
   判断依据：客户明确描述“有业务虚拟机启动失败”，错误提示“RPC接收消息失败”通常为虚拟机开机任务下发至宿主机或存储层时通信异常导致，属于虚拟机开机流程故障，概率估计 ~90%
② **平台-005 主机离线或异常重启**
   判断依据：场景为“机房断电来电后”，断电可能导致主机服务（如vtpdaemon）未完全就绪或状态异常，从而引发RPC通信失败，属于平台层基础环境恢复问题，概率估计 ~10%
③ 以上都不是（请补充症状描述）
请回复 ① ② 或 ③ 完成确认。</t>
        </is>
      </c>
    </row>
    <row r="167">
      <c r="A167" t="inlineStr">
        <is>
          <t>Q2026041501673</t>
        </is>
      </c>
      <c r="B167" t="inlineStr">
        <is>
          <t>HCI</t>
        </is>
      </c>
      <c r="C167" t="inlineStr"/>
      <c r="D167" t="inlineStr">
        <is>
          <t>HCi 升级，涉及到HCI升级的细节虚拟机的重启，需要在确认一下，
49338</t>
        </is>
      </c>
      <c r="E167" t="inlineStr">
        <is>
          <t>虚拟机</t>
        </is>
      </c>
      <c r="F167" t="inlineStr">
        <is>
          <t>虚拟机开关机</t>
        </is>
      </c>
      <c r="G167" t="inlineStr">
        <is>
          <t>根据您提供的描述“HCI 升级，涉及到虚拟机的重启，需要在确认一下”，问题核心集中在升级流程与虚拟机重启操作上。您的问题可能属于以下故障之一，请确认：
① **平台-011 版本升级失败**
   判断依据：[关键词“HCI 升级”]，升级过程通常涉及虚拟机迁移或重启步骤，若流程卡住、中断或报错需人工确认，通常归为此类。概率估计 ~60%
② **虚拟机-005 虚拟机重启失败**
   判断依据：[关键词“虚拟机的重启”]，若升级主体正常，但具体某个虚拟机在重启环节出现异常、卡死或无法启动，则归为此类。概率估计 ~30%
③ 以上都不是（请补充症状描述）
请回复 ① ② 或 ③ 完成确认。</t>
        </is>
      </c>
    </row>
    <row r="168">
      <c r="A168" t="inlineStr">
        <is>
          <t>Q2026041501356</t>
        </is>
      </c>
      <c r="B168" t="inlineStr">
        <is>
          <t>HCI</t>
        </is>
      </c>
      <c r="C168" t="inlineStr">
        <is>
          <t>6.8.0_R2</t>
        </is>
      </c>
      <c r="D168" t="inlineStr">
        <is>
          <t>AMD 和海光的CPU，虚拟机开机提示不支持嵌套虚拟化，需要把这个虚拟机开起来。</t>
        </is>
      </c>
      <c r="E168" t="inlineStr">
        <is>
          <t>虚拟机</t>
        </is>
      </c>
      <c r="F168" t="inlineStr">
        <is>
          <t>虚拟机开关机</t>
        </is>
      </c>
      <c r="G168" t="inlineStr">
        <is>
          <t>根据用户描述“虚拟机开机提示不支持嵌套虚拟化”，核心故障现象为虚拟机无法正常启动，您的问题可能属于以下故障之一，请确认：
① 虚拟机-003 虚拟机开机失败
   判断依据：用户明确描述“虚拟机开机提示...”，且故障目标为“需要把这个虚拟机开起来”，符合虚拟机开机失败的特征，概率估计 ~95%
③ 以上都不是（请补充症状描述）
请回复 ① 或 ③ 完成确认。</t>
        </is>
      </c>
    </row>
    <row r="169">
      <c r="A169" t="inlineStr">
        <is>
          <t>Q2026041500549</t>
        </is>
      </c>
      <c r="B169" t="inlineStr">
        <is>
          <t>HCI</t>
        </is>
      </c>
      <c r="C169" t="inlineStr">
        <is>
          <t>6.3.0R1</t>
        </is>
      </c>
      <c r="D169" t="inlineStr">
        <is>
          <t>超融合昨天晚上重启了所有交换机，今天掉线了2台主机，虚拟机好多都开不了机，影响核心业务，需要协助。</t>
        </is>
      </c>
      <c r="E169" t="inlineStr">
        <is>
          <t>虚拟机</t>
        </is>
      </c>
      <c r="F169" t="inlineStr">
        <is>
          <t>虚拟机开关机</t>
        </is>
      </c>
      <c r="G169" t="inlineStr">
        <is>
          <t>根据客户描述“掉线了2台主机”及“虚拟机好多都开不了机”，结合交换机重启的操作背景，推断故障源头极有可能为主机离线导致计算资源不足或存储不可访问，进而引发虚拟机开机失败。您的问题可能属于以下故障之一，请确认：
① 平台-005 主机离线或异常重启
   判断依据：客户明确描述“今天掉线了2台主机”，且发生在交换机重启后，大概率是网络抖动导致主机心跳异常或管理网中断，概率估计 ~80%
② 虚拟机-003 虚拟机开机失败
   判断依据：客户描述“虚拟机好多都开不了机，影响核心业务”，这是当前核心业务受损的直接表现，概率估计 ~20%
③ 以上都不是（请补充症状描述）
请回复 ① ② 或 ③ 完成确认。</t>
        </is>
      </c>
    </row>
    <row r="170">
      <c r="A170" t="inlineStr">
        <is>
          <t>Q2026041500547</t>
        </is>
      </c>
      <c r="B170" t="inlineStr">
        <is>
          <t>HCI</t>
        </is>
      </c>
      <c r="C170" t="inlineStr">
        <is>
          <t>6.9.1</t>
        </is>
      </c>
      <c r="D170" t="inlineStr">
        <is>
          <t>虚拟机异常重启协助排查原因</t>
        </is>
      </c>
      <c r="E170" t="inlineStr">
        <is>
          <t>虚拟机</t>
        </is>
      </c>
      <c r="F170" t="inlineStr">
        <is>
          <t>虚拟机开关机</t>
        </is>
      </c>
      <c r="G170" t="inlineStr">
        <is>
          <t>根据您的描述，虚拟机出现非预期的重启现象，通常涉及平台高可用机制触发或宿主机异常。结合故障分类基准，最可能的故障分类如下：
① **虚拟机-033 虚拟机异常HA**
   判断依据：客户描述“虚拟机异常重启”，在 HCI 架构中，虚拟机非人为操作的重启通常由 HA（高可用）机制在宿主机故障或网络脑裂后触发迁移/拉起导致，概率估计 ~60%
② **平台-005 主机离线或异常重启**
   判断依据：若宿主机物理服务器发生异常重启或掉电，会导致其上运行的虚拟机随之重启，概率估计 ~30%
③ 以上都不是（请补充症状描述）
请回复 ① ② 或 ③ 完成确认。</t>
        </is>
      </c>
    </row>
    <row r="171">
      <c r="A171" t="inlineStr">
        <is>
          <t>Q2026041402115</t>
        </is>
      </c>
      <c r="B171" t="inlineStr">
        <is>
          <t>HCI</t>
        </is>
      </c>
      <c r="C171" t="inlineStr">
        <is>
          <t>6.10.0_R2</t>
        </is>
      </c>
      <c r="D171" t="inlineStr">
        <is>
          <t>HCI打合集包之后虚拟机显示内部重启查原因</t>
        </is>
      </c>
      <c r="E171" t="inlineStr">
        <is>
          <t>虚拟机</t>
        </is>
      </c>
      <c r="F171" t="inlineStr">
        <is>
          <t>虚拟机开关机</t>
        </is>
      </c>
      <c r="G171" t="inlineStr">
        <is>
          <t>根据 [客户描述“打合集包后虚拟机显示内部重启”]，结合HCI运维经验，打合集包（升级/补丁）通常涉及主机重启或驱动/硬件兼容性变更，虚拟机意外重启主要分为主机侧故障（HA触发）或客户机侧故障（系统崩溃）两种场景，请确认：
① 虚拟机-033 虚拟机异常HA
   判断依据：打合集包过程通常伴随主机重启，若主机异常掉电或服务异常，可能导致虚拟机被HA（高可用）机制强制在其他主机重启，概率估计 ~60%
② 虚拟机-042 虚拟机内部蓝屏
   判断依据：合集包可能涉及底层驱动或虚拟硬件兼容性更新，若虚拟机内部操作系统遇到兼容性问题会触发蓝屏并自动重启，概率估计 ~35%
③ 以上都不是（请补充症状描述）
请回复 ① ② 或 ③ 完成确认。</t>
        </is>
      </c>
    </row>
    <row r="172">
      <c r="A172" t="inlineStr">
        <is>
          <t>Q2026041402023</t>
        </is>
      </c>
      <c r="B172" t="inlineStr">
        <is>
          <t>HCI</t>
        </is>
      </c>
      <c r="C172" t="inlineStr">
        <is>
          <t>HCI6.11.1</t>
        </is>
      </c>
      <c r="D172" t="inlineStr">
        <is>
          <t>HCI 虚拟机异常重启 HA，需要协助排查原因，</t>
        </is>
      </c>
      <c r="E172" t="inlineStr">
        <is>
          <t>虚拟机</t>
        </is>
      </c>
      <c r="F172" t="inlineStr">
        <is>
          <t>虚拟机开关机</t>
        </is>
      </c>
      <c r="G172" t="inlineStr">
        <is>
          <t>根据您的描述“虚拟机异常重启 HA”，关键词“虚拟机”、“异常”、“HA”与故障特征高度吻合，判定为虚拟机高可用机制触发相关故障。
根据 [描述关键词精准匹配]，您的问题可能属于以下故障之一，请确认：
① 虚拟机-033 虚拟机异常HA
   判断依据：客户描述提及“虚拟机异常重启 HA”，直接对应虚拟机非预期触发高可用重建或重启的场景，概率估计 ~95%
③ 以上都不是（请补充症状描述）
请回复 ① 或 ③ 完成确认。</t>
        </is>
      </c>
    </row>
    <row r="173">
      <c r="A173" t="inlineStr">
        <is>
          <t>Q2026041401870</t>
        </is>
      </c>
      <c r="B173" t="inlineStr">
        <is>
          <t>HCI</t>
        </is>
      </c>
      <c r="C173" t="inlineStr"/>
      <c r="D173" t="inlineStr">
        <is>
          <t>HCI ，vmware迁移到HCI windws server 2012 无法起来，开机进入系统提示要重启，尝试重启还是不行，需要协助处理。</t>
        </is>
      </c>
      <c r="E173" t="inlineStr">
        <is>
          <t>虚拟机</t>
        </is>
      </c>
      <c r="F173" t="inlineStr">
        <is>
          <t>虚拟机开关机</t>
        </is>
      </c>
      <c r="G173" t="inlineStr">
        <is>
          <t>根据故障场景描述（VMware 迁移后虚拟机无法进入系统），问题定界如下：
① 虚拟机-021 虚拟机vmware纳管迁移失败
   判断依据：客户明确描述“vmware迁移到HCI”后出现故障，虚拟机无法正常启动，此类问题通常与迁移后的驱动适配、引导模式或磁盘控制器配置有关，概率 ~70%
② 虚拟机-042 虚拟机内部蓝屏
   判断依据：故障现象“开机进入系统提示要重启”是典型的 Windows 系统蓝屏（BSOD）表现，属于系统内核级故障，概率 ~30%
③ 以上都不是（请补充症状描述）
请回复 ① ② 或 ③ 完成确认。</t>
        </is>
      </c>
    </row>
    <row r="174">
      <c r="A174" t="inlineStr">
        <is>
          <t>Q2026041401671</t>
        </is>
      </c>
      <c r="B174" t="inlineStr">
        <is>
          <t>HCI</t>
        </is>
      </c>
      <c r="C174" t="inlineStr">
        <is>
          <t>6.10.0</t>
        </is>
      </c>
      <c r="D174" t="inlineStr">
        <is>
          <t>【服务升级】：服务商通过数字化服务平台发起服务升级，请尽快联系服务商处理！&lt;br&gt;【工单描述】：开启虚拟机失败，提示虚拟机内存不足，但看主机是有内存资源的</t>
        </is>
      </c>
      <c r="E174" t="inlineStr">
        <is>
          <t>虚拟机</t>
        </is>
      </c>
      <c r="F174" t="inlineStr">
        <is>
          <t>虚拟机开关机</t>
        </is>
      </c>
      <c r="G174" t="inlineStr">
        <is>
          <t>根据客户描述“开启虚拟机失败，提示虚拟机内存不足”，您的问题可能属于以下故障之一，请确认：
① 虚拟机-003 虚拟机开机失败
   判断依据：客户明确描述“开启虚拟机失败”，且系统有明确错误提示“虚拟机内存不足”，直接对应虚拟机生命周期管理中的开机操作故障，概率估计 ~98%
③ 以上都不是（请补充症状描述）
请回复 ① 或 ③ 完成确认。</t>
        </is>
      </c>
    </row>
    <row r="175">
      <c r="A175" t="inlineStr">
        <is>
          <t>Q2026041401048</t>
        </is>
      </c>
      <c r="B175" t="inlineStr">
        <is>
          <t>HCI</t>
        </is>
      </c>
      <c r="C175" t="inlineStr">
        <is>
          <t>6.8.0_R2</t>
        </is>
      </c>
      <c r="D175" t="inlineStr">
        <is>
          <t>虚拟机内部关机，有几台出现，需要协助排查</t>
        </is>
      </c>
      <c r="E175" t="inlineStr">
        <is>
          <t>虚拟机</t>
        </is>
      </c>
      <c r="F175" t="inlineStr">
        <is>
          <t>虚拟机开关机</t>
        </is>
      </c>
      <c r="G175" t="inlineStr">
        <is>
          <t>根据客户描述“虚拟机内部关机”，核心关注点在于虚拟机的“关机”行为。这可能是指用户在虚拟机内部执行关机操作时遇到阻碍（如卡死、失败），也可能是指虚拟机出现了非预期的自动关机现象。
您的问题可能属于以下故障之一，请确认：
① **虚拟机-004 虚拟机关机失败**
   判断依据：客户提及“虚拟机内部关机”，通常指在 Guest OS 内部发起关机指令。若该操作长时间无响应、报错或卡住，符合此分类。概率估计 ~60%
② **虚拟机-L1 虚拟机**
   判断依据：若“有几台出现”意指虚拟机发生了非预期的自动关闭或掉电，且无明确分类匹配，需归入虚拟机总类进行排查（可能涉及 HA、掉电等复杂情况）。概率估计 ~30%
③ 以上都不是（请补充症状描述）
请回复 ① ② 或 ③ 完成确认。</t>
        </is>
      </c>
    </row>
    <row r="176">
      <c r="A176" t="inlineStr">
        <is>
          <t>Q2026041401023</t>
        </is>
      </c>
      <c r="B176" t="inlineStr">
        <is>
          <t>HCI</t>
        </is>
      </c>
      <c r="C176" t="inlineStr">
        <is>
          <t>6.10.0_R2</t>
        </is>
      </c>
      <c r="D176" t="inlineStr">
        <is>
          <t>克隆和模版部署的windows虚拟机开机慢</t>
        </is>
      </c>
      <c r="E176" t="inlineStr">
        <is>
          <t>虚拟机</t>
        </is>
      </c>
      <c r="F176" t="inlineStr">
        <is>
          <t>虚拟机开关机</t>
        </is>
      </c>
      <c r="G176" t="inlineStr">
        <is>
          <t>根据 [克隆和模版部署的Windows虚拟机开机缓慢]，您的问题可能属于以下故障之一，请确认：
① 虚拟机-036 虚拟机整体卡慢
   判断依据：虚拟机开机过程耗时久，属于虚拟机运行性能类问题，符合“整体卡慢”的表象，概率估计 ~60%
② 虚拟机-038 虚拟机IO读写慢
   判断依据：克隆/模版部署的虚拟机首次启动常伴随大量磁盘IO操作（如数据块初始化、Sysprep展开），存储IO瓶颈是导致此类场景开机慢的常见根因，概率估计 ~30%
③ 以上都不是（请补充症状描述）
请回复 ① ② 或 ③ 完成确认。</t>
        </is>
      </c>
    </row>
    <row r="177">
      <c r="A177" t="inlineStr">
        <is>
          <t>Q2026041400255</t>
        </is>
      </c>
      <c r="B177" t="inlineStr">
        <is>
          <t>HCI</t>
        </is>
      </c>
      <c r="C177" t="inlineStr"/>
      <c r="D177" t="inlineStr">
        <is>
          <t>SM超融合安装瑞星杀毒软件重启安装包没了，需要排查原因</t>
        </is>
      </c>
      <c r="E177" t="inlineStr">
        <is>
          <t>虚拟机</t>
        </is>
      </c>
      <c r="F177" t="inlineStr">
        <is>
          <t>虚拟机开关机</t>
        </is>
      </c>
      <c r="G177" t="inlineStr">
        <is>
          <t>根据您提供的故障现象“安装瑞星杀毒软件重启后安装包丢失”，这属于典型的虚拟机文件消失或状态回滚问题。结合深信服HCI机制，可能涉及虚拟机磁盘模式配置（如独立非持久模式）或快照还原逻辑。
请您确认故障分类：
① 虚拟机-048 虚拟机数据丢失
   判断依据：用户明确描述“重启安装包没了”，直接对应虚拟机内部文件在重启后消失的现象，概率估计 ~80%
② 虚拟机-044 虚拟机内部空间或文件系统异常
   判断依据：若虚拟机磁盘模式为“独立非持久”或开启了系统还原类策略，重启后文件系统状态会自动回滚，导致文件丢失，概率估计 ~15%
③ 以上都不是（请补充症状描述）
请回复 ① ② 或 ③ 完成确认。</t>
        </is>
      </c>
    </row>
    <row r="178">
      <c r="A178" t="inlineStr">
        <is>
          <t>Q2026041400016</t>
        </is>
      </c>
      <c r="B178" t="inlineStr">
        <is>
          <t>HCI</t>
        </is>
      </c>
      <c r="C178" t="inlineStr">
        <is>
          <t>6.11.1</t>
        </is>
      </c>
      <c r="D178" t="inlineStr">
        <is>
          <t>linux系统起不来</t>
        </is>
      </c>
      <c r="E178" t="inlineStr">
        <is>
          <t>虚拟机</t>
        </is>
      </c>
      <c r="F178" t="inlineStr">
        <is>
          <t>虚拟机开关机</t>
        </is>
      </c>
      <c r="G178" t="inlineStr">
        <is>
          <t>根据您的描述“linux系统起不来”，这通常是虚拟机层面最常见的“开机/启动类”故障。问题可能出在平台层（虚拟机无法开机）或系统内部层（开机卡住、文件系统损坏），建议按以下分类排查：
① 虚拟机-003 虚拟机开机失败
   判断依据：客户描述“起不来”最直接对应虚拟机开机流程失败，可能涉及宿主机资源不足、存储不可访问或配置错误，概率估计 ~60%
② 虚拟机-044 虚拟机内部空间或文件系统异常
   判断依据：针对“Linux系统”，启动失败常因根分区磁盘满、文件系统损坏（fsck报错）导致引导卡死，概率估计 ~30%
③ 以上都不是（请补充症状描述）
请回复 ① ② 或 ③ 完成确认。</t>
        </is>
      </c>
    </row>
    <row r="179">
      <c r="A179" t="inlineStr">
        <is>
          <t>Q2026041301830</t>
        </is>
      </c>
      <c r="B179" t="inlineStr">
        <is>
          <t>HCI</t>
        </is>
      </c>
      <c r="C179" t="inlineStr"/>
      <c r="D179" t="inlineStr">
        <is>
          <t>hci上有一个数据库，重启起不来</t>
        </is>
      </c>
      <c r="E179" t="inlineStr">
        <is>
          <t>虚拟机</t>
        </is>
      </c>
      <c r="F179" t="inlineStr">
        <is>
          <t>虚拟机开关机</t>
        </is>
      </c>
      <c r="G179" t="inlineStr">
        <is>
          <t>根据您描述的“数据库重启起不来”症状，问题可能属于以下故障之一，请确认：
① 虚拟机-005 虚拟机重启失败
   判断依据：用户明确描述了操作动作为“重启”且结果为失败（起不来），符合该分类定义，概率估计 ~70%
② 虚拟机-003 虚拟机开机失败
   判断依据：重启失败在底层处理上往往包含“关闭”和“开启”两个阶段，若虚拟机当前处于关机状态且无法启动，亦可归类为开机失败，概率估计 ~25%
③ 以上都不是（请补充症状描述）
请回复 ① ② 或 ③ 完成确认。</t>
        </is>
      </c>
    </row>
    <row r="180">
      <c r="A180" t="inlineStr">
        <is>
          <t>Q2026041301606</t>
        </is>
      </c>
      <c r="B180" t="inlineStr">
        <is>
          <t>HCI</t>
        </is>
      </c>
      <c r="C180" t="inlineStr">
        <is>
          <t>HCI6.11.1_R1</t>
        </is>
      </c>
      <c r="D180" t="inlineStr">
        <is>
          <t>3D虚拟机重启失败，提示内部错误</t>
        </is>
      </c>
      <c r="E180" t="inlineStr">
        <is>
          <t>虚拟机</t>
        </is>
      </c>
      <c r="F180" t="inlineStr">
        <is>
          <t>虚拟机开关机</t>
        </is>
      </c>
      <c r="G180" t="inlineStr">
        <is>
          <t>根据您提供的信息，故障现象描述为"虚拟机重启失败"，这与故障分类基准中的特定子项高度匹配。
① 虚拟机-005 虚拟机重启失败
   判断依据：客户描述明确提及"虚拟机重启失败"，关键词与分类基准完全一致，概率估计 ~95%
③ 以上都不是（请补充症状描述）
请回复 ① 或 ③ 完成确认。</t>
        </is>
      </c>
    </row>
    <row r="181">
      <c r="A181" t="inlineStr">
        <is>
          <t>Q2026041301388</t>
        </is>
      </c>
      <c r="B181" t="inlineStr">
        <is>
          <t>HCI</t>
        </is>
      </c>
      <c r="C181" t="inlineStr">
        <is>
          <t>6.10.0R2</t>
        </is>
      </c>
      <c r="D181" t="inlineStr">
        <is>
          <t>HCI上虚拟机重启导致MAC改变软件授权信息不匹配，需要协助查看虚拟机为什么重启会自动修改MAC。以及如何将MAC改回去</t>
        </is>
      </c>
      <c r="E181" t="inlineStr">
        <is>
          <t>虚拟机</t>
        </is>
      </c>
      <c r="F181" t="inlineStr">
        <is>
          <t>虚拟机开关机</t>
        </is>
      </c>
      <c r="G181" t="inlineStr">
        <is>
          <t>根据分析，您的问题表现为虚拟机重启后MAC地址变更，导致授权失效。MAC地址在正常重启下不应改变，这通常意味着虚拟机发生了重建或配置未持久化。
根据症状，您的问题可能属于以下故障之一，请确认：
① 虚拟机-033 虚拟机异常HA
   判断依据：虚拟机MAC地址通常绑定于配置文件，若重启后发生变更，极有可能是虚拟机发生了异常HA（高可用）切换，导致虚拟机在其他主机重建或配置重置。概率估计 ~70%
② 虚拟机-L1 虚拟机
   判断依据：若排除HA因素，属于虚拟机配置文件（vm.cfg）持久化异常或平台Bug导致的通用虚拟机配置变更问题。概率估计 ~25%
③ 以上都不是（请补充症状描述）
请回复 ① ② 或 ③ 完成确认。</t>
        </is>
      </c>
    </row>
    <row r="182">
      <c r="A182" t="inlineStr">
        <is>
          <t>Q2026041300967</t>
        </is>
      </c>
      <c r="B182" t="inlineStr">
        <is>
          <t>HCI</t>
        </is>
      </c>
      <c r="C182" t="inlineStr">
        <is>
          <t>6.10.0R2</t>
        </is>
      </c>
      <c r="D182" t="inlineStr">
        <is>
          <t>HCI 680R1 升级到 6.10R1 ，server 2019告警提示，桌面窗口管理器进程异常，QXL异常，换VGA重启，虚拟机无法关闭，需要协助处理。</t>
        </is>
      </c>
      <c r="E182" t="inlineStr">
        <is>
          <t>虚拟机</t>
        </is>
      </c>
      <c r="F182" t="inlineStr">
        <is>
          <t>虚拟机开关机</t>
        </is>
      </c>
      <c r="G182" t="inlineStr">
        <is>
          <t>根据用户描述“虚拟机无法关闭”这一核心故障现象，结合“Server 2019 桌面窗口管理器异常、QXL异常”的背景，S0 阶段分析如下：
1.  **核心故障定位**：用户明确指出的当前急需解决的问题是“虚拟机无法关闭”。这属于虚拟机生命周期管理中的操作失败。
2.  **背景关联分析**：
    *   用户提到“QXL异常”和“桌面窗口管理器进程异常”，这通常是虚拟机内部操作系统或显示驱动层面的故障。
    *   用户尝试了“换VGA重启”，说明进行过配置变更。
    *   变更后出现“无法关闭”，极有可能是因为虚拟机内部处于死锁状态、或者QEMU进程异常导致平台无法响应关机指令。
3.  **分类匹配**：
    *   最匹配的分类为 **虚拟机-004 虚拟机关机失败**。这是用户直接描述的操作失败场景。
    *   虽然“QXL异常”可能关联显示问题，但当前阻塞点是关机操作，故优先归档为关机失败。
根据分析，您的问题可能属于以下故障之一，请确认：
① 虚拟机-004 虚拟机关机失败
   判断依据：用户明确描述“虚拟机无法关闭”，且在更换VGA显卡模式后触发此状态，符合关机操作失败特征，概率估计 ~90%
② 以上都不是（请补充症状描述）
请回复 ① 或 ② 完成确认。</t>
        </is>
      </c>
    </row>
    <row r="183">
      <c r="A183" t="inlineStr">
        <is>
          <t>Q2026041300745</t>
        </is>
      </c>
      <c r="B183" t="inlineStr">
        <is>
          <t>HCI</t>
        </is>
      </c>
      <c r="C183" t="inlineStr">
        <is>
          <t>6.10.0_R2</t>
        </is>
      </c>
      <c r="D183" t="inlineStr">
        <is>
          <t>启动新建的应用服务器虚拟机(SBC-002)失败，错误信息:内部异常，请稍后重试!
触发了ha恢复任务 提示虚拟机异常
查原因</t>
        </is>
      </c>
      <c r="E183" t="inlineStr">
        <is>
          <t>虚拟机</t>
        </is>
      </c>
      <c r="F183" t="inlineStr">
        <is>
          <t>虚拟机开关机</t>
        </is>
      </c>
      <c r="G183" t="inlineStr">
        <is>
          <t>根据您提供的故障现象，核心问题是虚拟机启动操作未成功，后续 HA 任务是基于此次故障的恢复机制。故障分类确认如下：
① 虚拟机-003 虚拟机开机失败
   判断依据：客户明确描述“启动新建的应用服务器虚拟机(SBC-002)失败”，错误信息“内部异常”为典型的开机任务报错；后续触发的 HA 恢复任务通常由虚拟机异常关闭或开机失败触发。概率估计 ~95%
③ 以上都不是（请补充症状描述）
请回复 ① 或 ③ 完成确认。</t>
        </is>
      </c>
    </row>
    <row r="184">
      <c r="A184" t="inlineStr">
        <is>
          <t>Q2026041300715</t>
        </is>
      </c>
      <c r="B184" t="inlineStr">
        <is>
          <t>HCI</t>
        </is>
      </c>
      <c r="C184" t="inlineStr">
        <is>
          <t>6.8.0_R2</t>
        </is>
      </c>
      <c r="D184" t="inlineStr">
        <is>
          <t>虚拟机异常重启，排查原因</t>
        </is>
      </c>
      <c r="E184" t="inlineStr">
        <is>
          <t>虚拟机</t>
        </is>
      </c>
      <c r="F184" t="inlineStr">
        <is>
          <t>虚拟机开关机</t>
        </is>
      </c>
      <c r="G184" t="inlineStr">
        <is>
          <t>根据客户描述“虚拟机异常重启”，结合 HCI 平台机制，虚拟机非人为触发的重启通常由高可用（HA）机制或宿主机故障引起，也不排除虚拟机内部系统崩溃的可能性。由于缺乏具体日志，建议从以下两个最可能的故障分类进行确认：
① 虚拟机-033 虚拟机异常HA
   判断依据：客户描述“虚拟机异常重启”，在超融合架构中，虚拟机非预期的自动重启最常见原因是触发了 HA（高可用）机制（如宿主机故障、心跳丢失或看门狗超时），概率估计 ~60%
② 平台-005 主机离线或异常重启
   判断依据：虚拟机异常重启往往是宿主机层面故障的连锁反应，若宿主机发生掉电、死机或异常重启，会导致其上运行的虚拟机发生异常重启，概率估计 ~30%
③ 以上都不是（请补充症状描述）
请回复 ① ② 或 ③ 完成确认。</t>
        </is>
      </c>
    </row>
    <row r="185">
      <c r="A185" t="inlineStr">
        <is>
          <t>Q2026041300294</t>
        </is>
      </c>
      <c r="B185" t="inlineStr">
        <is>
          <t>HCI</t>
        </is>
      </c>
      <c r="C185" t="inlineStr">
        <is>
          <t>6.11.1_R1</t>
        </is>
      </c>
      <c r="D185" t="inlineStr">
        <is>
          <t>桌面云两台虚拟机用一会自动卡死重启，每天出现4-6次，需要协助排查原因。</t>
        </is>
      </c>
      <c r="E185" t="inlineStr">
        <is>
          <t>虚拟机</t>
        </is>
      </c>
      <c r="F185" t="inlineStr">
        <is>
          <t>虚拟机开关机</t>
        </is>
      </c>
      <c r="G185" t="inlineStr">
        <is>
          <t>根据客户描述中“虚拟机自动卡死重启”的核心症状，您的问题可能属于以下故障之一，请确认：
① **虚拟机-039 虚拟机卡死无响应**
   判断依据：客户明确描述虚拟机出现“卡死”现象，符合虚拟机进程挂起或无响应的特征，概率估计 ~60%
② **虚拟机-042 虚拟机内部蓝屏**
   判断依据：症状表现为“卡死”后伴随“自动重启”，这通常是 GuestOS 内部发生严重错误（如 Windows 蓝屏 BSOD 或 Linux Kernel Panic）且配置了系统失败自动重启的表现，概率估计 ~30%
③ 以上都不是（请补充症状描述）
请回复 ① ② 或 ③ 完成确认。</t>
        </is>
      </c>
    </row>
    <row r="186">
      <c r="A186" t="inlineStr">
        <is>
          <t>Q2026041300119</t>
        </is>
      </c>
      <c r="B186" t="inlineStr">
        <is>
          <t>HCI</t>
        </is>
      </c>
      <c r="C186" t="inlineStr">
        <is>
          <t>6.10.0R2</t>
        </is>
      </c>
      <c r="D186" t="inlineStr">
        <is>
          <t>虚拟凌晨自动重启后系统无法启动，ERP系统影响生产业务</t>
        </is>
      </c>
      <c r="E186" t="inlineStr">
        <is>
          <t>虚拟机</t>
        </is>
      </c>
      <c r="F186" t="inlineStr">
        <is>
          <t>虚拟机开关机</t>
        </is>
      </c>
      <c r="G186" t="inlineStr">
        <is>
          <t>根据客户描述“虚拟凌晨自动重启后系统无法启动”，核心故障为虚拟机启动状态异常。基于关键字“无法启动”，建议分类如下：
① 虚拟机-003 虚拟机开机失败
   判断依据：客户明确描述虚拟机“系统无法启动”，直接对应开机失败场景，概率估计 ~85%
③ 以上都不是（请补充症状描述）
请回复 ① 或 ③ 完成确认。</t>
        </is>
      </c>
    </row>
    <row r="187">
      <c r="A187" t="inlineStr">
        <is>
          <t>Q2026041200084</t>
        </is>
      </c>
      <c r="B187" t="inlineStr">
        <is>
          <t>HCI</t>
        </is>
      </c>
      <c r="C187" t="inlineStr">
        <is>
          <t>HCI5.8.1</t>
        </is>
      </c>
      <c r="D187" t="inlineStr">
        <is>
          <t>虚拟机迁移之后无法启动</t>
        </is>
      </c>
      <c r="E187" t="inlineStr">
        <is>
          <t>虚拟机</t>
        </is>
      </c>
      <c r="F187" t="inlineStr">
        <is>
          <t>虚拟机开关机</t>
        </is>
      </c>
      <c r="G187" t="inlineStr">
        <is>
          <t>根据故障现象描述“虚拟机迁移之后无法启动”，问题核心表现为虚拟机无法启动，诱因涉及迁移操作，可能属于以下故障之一，请确认：
① **虚拟机-003 虚拟机开机失败**
   判断依据：用户描述核心症状为“无法启动”，明确指向虚拟机开机阶段失败，迁移操作可能导致了配置异常、文件丢失或主机兼容性问题。概率估计 ~70%
② **虚拟机-L2-虚拟机集群内或跨集群迁移失败 虚拟机集群内或跨集群迁移失败**
   判断依据：故障发生在“迁移之后”，可能迁移过程非正常结束或存在残留任务，导致虚拟机状态锁定或文件损坏，进而引发启动失败。概率估计 ~30%
③ 以上都不是（请补充症状描述）
请回复 ① ② 或 ③ 完成确认。</t>
        </is>
      </c>
    </row>
    <row r="188">
      <c r="A188" t="inlineStr">
        <is>
          <t>Q2026041100361</t>
        </is>
      </c>
      <c r="B188" t="inlineStr">
        <is>
          <t>HCI</t>
        </is>
      </c>
      <c r="C188" t="inlineStr">
        <is>
          <t>HCI6.11.1_R1</t>
        </is>
      </c>
      <c r="D188" t="inlineStr">
        <is>
          <t>一个虚拟机不断内部重启，需要帮忙看下；</t>
        </is>
      </c>
      <c r="E188" t="inlineStr">
        <is>
          <t>虚拟机</t>
        </is>
      </c>
      <c r="F188" t="inlineStr">
        <is>
          <t>虚拟机开关机</t>
        </is>
      </c>
      <c r="G188" t="inlineStr">
        <is>
          <t>根据您的描述“虚拟机不断内部重启”，这通常指向客户机操作系统层面的崩溃（如蓝屏）或平台高可用机制的频繁触发。
请确认以下最可能的故障分类：
① 虚拟机-042 虚拟机内部蓝屏
   判断依据：虚拟机“内部重启”通常是操作系统遇到致命错误（如Windows蓝屏BSOD或Linux Kernel Panic）后触发系统自动重启，概率估计 ~70%
② 虚拟机-033 虚拟机异常HA
   判断依据：若“内部重启”实为虚拟机进程反复异常退出并触发平台HA重建，也会表现为反复重启，概率估计 ~20%
③ 以上都不是（请补充症状描述）
请回复 ① ② 或 ③ 完成确认。</t>
        </is>
      </c>
    </row>
    <row r="189">
      <c r="A189" t="inlineStr">
        <is>
          <t>Q2026041100051</t>
        </is>
      </c>
      <c r="B189" t="inlineStr">
        <is>
          <t>HCI</t>
        </is>
      </c>
      <c r="C189" t="inlineStr"/>
      <c r="D189" t="inlineStr">
        <is>
          <t>内部有一台托管云，晚上出现虚拟机异常关机无法重启</t>
        </is>
      </c>
      <c r="E189" t="inlineStr">
        <is>
          <t>虚拟机</t>
        </is>
      </c>
      <c r="F189" t="inlineStr">
        <is>
          <t>虚拟机开关机</t>
        </is>
      </c>
      <c r="G189" t="inlineStr">
        <is>
          <t>根据客户描述“虚拟机异常关机无法重启”，该问题属于典型的虚拟机生命周期故障。由于虚拟机处于关机状态且启动操作受阻，核心定位为启动类故障。
根据分析，您的问题可能属于以下故障之一，请确认：
① **虚拟机-003 虚拟机开机失败**
   判断依据：虚拟机处于关机状态，用户尝试重启（本质为开机动作）失败，符合开机失败的特征，概率估计 ~70%
② **虚拟机-005 虚拟机重启失败**
   判断依据：客户直接描述为“无法重启”，若操作动作明确为“重启”按钮且报错，则匹配此项，概率估计 ~25%
③ 以上都不是（请补充症状描述）
请回复 ① ② 或 ③ 完成确认。</t>
        </is>
      </c>
    </row>
    <row r="190">
      <c r="A190" t="inlineStr">
        <is>
          <t>Q2026041100036</t>
        </is>
      </c>
      <c r="B190" t="inlineStr">
        <is>
          <t>HCI</t>
        </is>
      </c>
      <c r="C190" t="inlineStr"/>
      <c r="D190" t="inlineStr">
        <is>
          <t>机房停电后来电一台开机设备频繁重启，部分业务资源不够无法恢复</t>
        </is>
      </c>
      <c r="E190" t="inlineStr">
        <is>
          <t>虚拟机</t>
        </is>
      </c>
      <c r="F190" t="inlineStr">
        <is>
          <t>虚拟机开关机</t>
        </is>
      </c>
      <c r="G190" t="inlineStr">
        <is>
          <t>根据您的描述，故障现象集中在“设备频繁重启”和“资源不足导致业务恢复失败”。
==== 统一格式 ====
根据 [设备频繁重启+资源不足]，您的问题可能属于以下故障之一，请确认：
① **平台-005 主机离线或异常重启**
   判断依据：描述中“一台开机设备频繁重启”，且发生在“机房停电后来电”场景，极高概率指向物理主机（Host）因电源不稳定或硬件故障导致异常重启，概率估计 ~70%
② **虚拟机-003 虚拟机开机失败**
   判断依据：描述中“部分业务资源不够无法恢复”，明确指向虚拟机因资源限制无法启动，属于典型的开机失败场景，概率估计 ~25%
③ 以上都不是（请补充症状描述）
请回复 ① ② 或 ③ 完成确认。</t>
        </is>
      </c>
    </row>
    <row r="191">
      <c r="A191" t="inlineStr">
        <is>
          <t>Q2026041001944</t>
        </is>
      </c>
      <c r="B191" t="inlineStr">
        <is>
          <t>HCI</t>
        </is>
      </c>
      <c r="C191" t="inlineStr">
        <is>
          <t>6.10.0</t>
        </is>
      </c>
      <c r="D191" t="inlineStr">
        <is>
          <t>欧拉虚拟机扩容内存之后起不来，影响核心业务</t>
        </is>
      </c>
      <c r="E191" t="inlineStr">
        <is>
          <t>虚拟机</t>
        </is>
      </c>
      <c r="F191" t="inlineStr">
        <is>
          <t>虚拟机开关机</t>
        </is>
      </c>
      <c r="G191" t="inlineStr">
        <is>
          <t>根据您提供的描述“欧拉虚拟机扩容内存之后起不来”，这直接指向了虚拟机生命周期状态变迁失败的问题。
综合分析，您的问题可能属于以下故障之一，请确认：
① 虚拟机-003 虚拟机开机失败
   判断依据：用户描述“起不来”，即虚拟机无法正常启动；虽然前置操作为“扩容内存”，但当前核心故障现象为启动失败，概率估计 ~95%
③ 以上都不是（请补充症状描述）
请回复 ① 或 ③ 完成确认。</t>
        </is>
      </c>
    </row>
    <row r="192">
      <c r="A192" t="inlineStr">
        <is>
          <t>Q2026041001446</t>
        </is>
      </c>
      <c r="B192" t="inlineStr">
        <is>
          <t>HCI</t>
        </is>
      </c>
      <c r="C192" t="inlineStr"/>
      <c r="D192" t="inlineStr">
        <is>
          <t>超融合有一台虚拟机，近一周已经差不多同一时间重启了3次了，有部分报表数据丢失(生产上采集的)，目前正常，需要协助。</t>
        </is>
      </c>
      <c r="E192" t="inlineStr">
        <is>
          <t>虚拟机</t>
        </is>
      </c>
      <c r="F192" t="inlineStr">
        <is>
          <t>虚拟机开关机</t>
        </is>
      </c>
      <c r="G192" t="inlineStr">
        <is>
          <t>根据客户描述“虚拟机周期性重启”且“当前正常”的特征，这通常指向平台高可用机制介入或系统内部崩溃。您的问题可能属于以下故障之一，请确认：
① 虚拟机-033 虚拟机异常HA
   判断依据：虚拟机在近一周内重启3次，若为平台检测到心跳丢失或宿主机故障触发的自动重启，属于 HA 行为，概率估计 ~55%
② 虚拟机-042 虚拟机内部蓝屏
   判断依据：虚拟机周期性（同一时间）重启，极有可能是 Guest OS 内部触发严重错误（如蓝屏、Kernel Panic）后的自动重启动作，概率估计 ~40%
③ 以上都不是（请补充症状描述）
请回复 ① ② 或 ③ 完成确认。</t>
        </is>
      </c>
    </row>
    <row r="193">
      <c r="A193" t="inlineStr">
        <is>
          <t>Q2026041001363</t>
        </is>
      </c>
      <c r="B193" t="inlineStr">
        <is>
          <t>HCI</t>
        </is>
      </c>
      <c r="C193" t="inlineStr">
        <is>
          <t>HCI6.10.0_R2</t>
        </is>
      </c>
      <c r="D193" t="inlineStr">
        <is>
          <t xml:space="preserve">HCI ,虚拟机，早上配合业务做了磁盘的关机，WEB扩容以后 现在系统无法进去了，影响核心业务 </t>
        </is>
      </c>
      <c r="E193" t="inlineStr">
        <is>
          <t>虚拟机</t>
        </is>
      </c>
      <c r="F193" t="inlineStr">
        <is>
          <t>虚拟机开关机</t>
        </is>
      </c>
      <c r="G193" t="inlineStr">
        <is>
          <t>根据 [客户描述的“磁盘扩容后系统无法进入”]，您的问题可能属于以下故障之一，请确认：
① 虚拟机-044 虚拟机内部空间或文件系统异常
   判断依据：客户描述“磁盘的关机，WEB扩容以后现在系统无法进去了”，明确指向磁盘扩容操作后的系统引导或文件系统问题（如系统盘扩容后分区表损坏、文件系统未适配等），概率估计 ~70%
② 虚拟机-003 虚拟机开机失败
   判断依据：若扩容后虚拟机无法正常启动（停留在开机中或立即报错），属于开机流程失败，概率估计 ~20%
③ 以上都不是（请补充症状描述）
请回复 ① ② 或 ③ 完成确认。</t>
        </is>
      </c>
    </row>
    <row r="194">
      <c r="A194" t="inlineStr">
        <is>
          <t>Q2026041001277</t>
        </is>
      </c>
      <c r="B194" t="inlineStr">
        <is>
          <t>HCI</t>
        </is>
      </c>
      <c r="C194" t="inlineStr">
        <is>
          <t>6.8.0</t>
        </is>
      </c>
      <c r="D194" t="inlineStr">
        <is>
          <t>单台虚拟机重置密码后反馈进去救援模式需要协助处理</t>
        </is>
      </c>
      <c r="E194" t="inlineStr">
        <is>
          <t>虚拟机</t>
        </is>
      </c>
      <c r="F194" t="inlineStr">
        <is>
          <t>虚拟机开关机</t>
        </is>
      </c>
      <c r="G194" t="inlineStr">
        <is>
          <t>根据您提供的描述，故障现象明确指向虚拟机操作系统层面的异常状态，且该状态由密码重置操作触发。请确认以下分类：
① 虚拟机-045 虚拟机密码重置
   判断依据：客户明确描述“虚拟机重置密码后”进入救援模式，故障直接由密码重置操作引发，概率估计 ~70%
② 虚拟机-044 虚拟机内部空间或文件系统异常
   判断依据：虚拟机进入“救援模式”通常是Linux系统文件系统损坏、fstab配置错误或关键文件丢失的典型表现，概率估计 ~25%
③ 以上都不是（请补充症状描述）
请回复 ① ② 或 ③ 完成确认。</t>
        </is>
      </c>
    </row>
    <row r="195">
      <c r="A195" t="inlineStr">
        <is>
          <t>Q2026041001275</t>
        </is>
      </c>
      <c r="B195" t="inlineStr">
        <is>
          <t>HCI</t>
        </is>
      </c>
      <c r="C195" t="inlineStr">
        <is>
          <t>HCI6.11.1_R1</t>
        </is>
      </c>
      <c r="D195" t="inlineStr">
        <is>
          <t>客户反馈 部署的openeuler虚拟机 开机提示guest disabled display  ,尝试调整VGA和XQL内置显卡也不行</t>
        </is>
      </c>
      <c r="E195" t="inlineStr">
        <is>
          <t>虚拟机</t>
        </is>
      </c>
      <c r="F195" t="inlineStr">
        <is>
          <t>虚拟机开关机</t>
        </is>
      </c>
      <c r="G195" t="inlineStr">
        <is>
          <t>根据错误信息“guest disabled display”及用户尝试调整显卡配置的操作，判断问题核心在于虚拟机控制台显示异常，而非虚拟机进程启动失败。
根据 [错误信息 "guest disabled display" 为典型的 VNC/控制台显示错误，且用户已尝试调整 VGA 配置]，您的问题可能属于以下故障之一，请确认：
① 虚拟机-040 虚拟机图形化界面启动失败
   判断依据：客户描述中明确出现 "guest disabled display" 提示，这是典型的虚拟机控制台（VNC）连接后无法显示画面的错误提示，且用户尝试调整 VGA 和显卡配置无效，符合图形化界面访问失败特征，概率估计 ~90%
② 虚拟机-041 虚拟机内部黑屏
   判断依据：openEuler 等 Linux 系统在未安装图形界面或显卡驱动不兼容时，可能导致控制台无画面输出，表现为黑屏或显示禁用状态，概率估计 ~10%
③ 以上都不是（请补充症状描述）
请回复 ① ② 或 ③ 完成确认。</t>
        </is>
      </c>
    </row>
    <row r="196">
      <c r="A196" t="inlineStr">
        <is>
          <t>Q2026041001198</t>
        </is>
      </c>
      <c r="B196" t="inlineStr">
        <is>
          <t>HCI</t>
        </is>
      </c>
      <c r="C196" t="inlineStr"/>
      <c r="D196" t="inlineStr">
        <is>
          <t>单台虚拟机开机失败 镜像文件不可访问</t>
        </is>
      </c>
      <c r="E196" t="inlineStr">
        <is>
          <t>虚拟机</t>
        </is>
      </c>
      <c r="F196" t="inlineStr">
        <is>
          <t>虚拟机开关机</t>
        </is>
      </c>
      <c r="G196" t="inlineStr">
        <is>
          <t>根据您提供的“单台虚拟机开机失败”及“镜像文件不可访问”的描述，问题聚焦在虚拟机生命周期管理中的启动环节。
请确认故障分类：
① **虚拟机-003 虚拟机开机失败**
   判断依据：用户明确描述“单台虚拟机开机失败”，且“镜像文件不可访问”是导致开机失败的直接错误原因（属于开机链路中存储挂载阶段异常），概率估计 ~95%
② **存储-019 虚拟存储状态异常**
   判断依据：错误提示“镜像文件不可访问”暗示底层存储可能存在离线、断连或路径异常，若集群内其他虚拟机也受影响则此分类可能性增加，概率估计 ~30%
③ 以上都不是（请补充症状描述）
请回复 ① ② 或 ③ 完成确认。</t>
        </is>
      </c>
    </row>
    <row r="197">
      <c r="A197" t="inlineStr">
        <is>
          <t>Q2026041000081</t>
        </is>
      </c>
      <c r="B197" t="inlineStr">
        <is>
          <t>HCI</t>
        </is>
      </c>
      <c r="C197" t="inlineStr">
        <is>
          <t>6.3.0R2</t>
        </is>
      </c>
      <c r="D197" t="inlineStr">
        <is>
          <t>虚拟机无法开机  修复虚拟机快照链失败</t>
        </is>
      </c>
      <c r="E197" t="inlineStr">
        <is>
          <t>虚拟机</t>
        </is>
      </c>
      <c r="F197" t="inlineStr">
        <is>
          <t>虚拟机开关机</t>
        </is>
      </c>
      <c r="G197" t="inlineStr">
        <is>
          <t>根据您的描述，虚拟机无法开机且明确提示“修复虚拟机快照链失败”，这直接指向了开机失败的现象以及快照链损坏的根本原因。问题可能属于以下故障分类，请确认：
① 虚拟机-003 虚拟机开机失败
   判断依据：客户描述“虚拟机无法开机”，这是最直接的业务中断现象，快照链修复失败是导致无法开机的具体原因，概率估计 ~60%
② 虚拟机-025 虚拟机快照合并或删除失败
   判断依据：客户描述“修复虚拟机快照链失败”，通常快照链异常是由快照合并失败、删除中断或底层文件丢失导致，属于快照管理域的典型故障，概率估计 ~35%
③ 以上都不是（请补充症状描述）
请回复 ① ② 或 ③ 完成确认。</t>
        </is>
      </c>
    </row>
    <row r="198">
      <c r="A198" t="inlineStr">
        <is>
          <t>Q2026041000024</t>
        </is>
      </c>
      <c r="B198" t="inlineStr">
        <is>
          <t>HCI</t>
        </is>
      </c>
      <c r="C198" t="inlineStr">
        <is>
          <t>6.10.0</t>
        </is>
      </c>
      <c r="D198" t="inlineStr">
        <is>
          <t>机房断电后有台windows虚拟机无法启动</t>
        </is>
      </c>
      <c r="E198" t="inlineStr">
        <is>
          <t>虚拟机</t>
        </is>
      </c>
      <c r="F198" t="inlineStr">
        <is>
          <t>虚拟机开关机</t>
        </is>
      </c>
      <c r="G198" t="inlineStr">
        <is>
          <t>根据客户描述“机房断电后有台windows虚拟机无法启动”，这是典型的异常断电后虚拟机无法开机场景，您的问题可能属于以下故障之一，请确认：
① 虚拟机-003 虚拟机开机失败
   判断依据：用户明确描述虚拟机“无法启动”，直接对应开机失败症状；断电易导致虚拟机文件锁死、磁盘不一致或配置异常从而导致开机任务报错。概率估计 ~95%
③ 以上都不是（请补充症状描述）
请回复 ① 或 ③ 完成确认。</t>
        </is>
      </c>
    </row>
    <row r="199">
      <c r="A199" t="inlineStr">
        <is>
          <t>Q2026040902123</t>
        </is>
      </c>
      <c r="B199" t="inlineStr">
        <is>
          <t>HCI</t>
        </is>
      </c>
      <c r="C199" t="inlineStr">
        <is>
          <t>HCI6.11.1</t>
        </is>
      </c>
      <c r="D199">
        <f>===海外工单信息====
    海外工单ID：20260223860157
    事件等级：Priority3
    产品线：HCI::6.11.1
====工单信息====
客户：Sinteco S.r.l.
环境：HCI 6.11.1
问题：Win 2019 (AD) 从VMWARE迁移到HCI 后蓝屏
[图片]
当前现象：
● 当该 1GB AD 数据盘使用 IDE 时，系统可正常启动
● 当该磁盘切换为 VirtIO 时，系统启动过程中出现 BSOD
已确认事实:
1. 磁盘依赖性确认
    a. 当该 1GB 磁盘被移除或设为 offline 时，系统必然 BSOD
    b. 客户确认该磁盘用于存放 NTDS 与 SYSVOL（AD 核心数据）
2. 驱动验证
    a. 已安装正确的 VirtIO 驱动（通过 VMTools 及手动方式）
    b. 系统盘已成功运行在 VirtIO 模式下
    c. 说明驱动本身已正确加载并可正常工作
3. 问题范围隔离
    a. BSOD 仅在 AD 数据盘切换为 VirtIO 时出现
    b. 以下场景均正常
        i. AD 数据盘保持 IDE
        ii. 系统盘使用 VirtIO
4. 已排除常见原因
    a. 已移除分页文件（pagefile）依赖
    b. 已清除盘符及挂载点
    c. 已重置 MountedDevices 注册表
    d. 已对磁盘进行 clean / 重建
    e. 问题仍然存在
技术观察：
1. Active Directory（NTDS / SYSVOL）在系统启动早期阶段即需访问
2. 当该磁盘使用 VirtIO 时，推测在该阶段：
    a. 磁盘未及时就绪或不可访问
    b. 导致：
        i. AD（LSASS）初始化失败
        ii. 系统触发 BSOD
该行为具有以下特征：
1. 仅影响该特定磁盘
2. 与VirtIO 控制器绑定/初始化过程相关与
3. VMware 迁移后的磁盘状态可能有关
已执行操作:
● 在WinPE 中通过 drvload 加载 VirtIO </f>
        <v/>
      </c>
      <c r="E199" t="inlineStr">
        <is>
          <t>虚拟机</t>
        </is>
      </c>
      <c r="F199" t="inlineStr">
        <is>
          <t>虚拟机开关机</t>
        </is>
      </c>
      <c r="G199" t="inlineStr">
        <is>
          <t>根据用户描述的“Win 2019 (AD) 从VMWARE迁移到HCI 后蓝屏”以及详细的故障现象排查（特定磁盘使用 VirtIO 时出现 BSOD），该问题符合虚拟机操作系统层面的崩溃特征。
您的问题可能属于以下故障之一，请确认：
① 虚拟机-042 虚拟机内部蓝屏
   判断依据：用户明确描述“系统启动过程中出现 BSOD”，且已排除存储离线等底层因素，确认为特定硬件控制器（VirtIO）切换触发的系统崩溃，概率估计 ~95%
② 虚拟机-021 虚拟机vmware纳管迁移失败
   判断依据：问题发生在从 VMware 迁移到 HCI 的场景下，虽然数据迁移成功，但因迁移后的适配问题（驱动/控制器类型）导致业务不可用，可视作迁移后的衍生故障，概率估计 ~5%
③ 以上都不是（请补充症状描述）
请回复 ① ② 或 ③ 完成确认。</t>
        </is>
      </c>
    </row>
    <row r="200">
      <c r="A200" t="inlineStr">
        <is>
          <t>Q2026040902117</t>
        </is>
      </c>
      <c r="B200" t="inlineStr">
        <is>
          <t>HCI</t>
        </is>
      </c>
      <c r="C200" t="inlineStr">
        <is>
          <t>6.11.1</t>
        </is>
      </c>
      <c r="D200" t="inlineStr">
        <is>
          <t>HCI挂了，虚拟机无法开机</t>
        </is>
      </c>
      <c r="E200" t="inlineStr">
        <is>
          <t>虚拟机</t>
        </is>
      </c>
      <c r="F200" t="inlineStr">
        <is>
          <t>虚拟机开关机</t>
        </is>
      </c>
      <c r="G200" t="inlineStr">
        <is>
          <t>根据客户描述“虚拟机无法开机”这一核心症状，故障指向明确。
① 虚拟机-003 虚拟机开机失败
   判断依据：客户明确描述核心症状为“虚拟机无法开机”，直接对应虚拟机生命周期管理中的启动失败场景。概率估计 ~95%
③ 以上都不是（请补充症状描述）
请回复 ① 或 ③ 完成确认。</t>
        </is>
      </c>
    </row>
    <row r="201">
      <c r="A201" t="inlineStr">
        <is>
          <t>Q2026040902101</t>
        </is>
      </c>
      <c r="B201" t="inlineStr">
        <is>
          <t>HCI</t>
        </is>
      </c>
      <c r="C201" t="inlineStr">
        <is>
          <t>HCI6.11.1</t>
        </is>
      </c>
      <c r="D201" t="inlineStr">
        <is>
          <t>SCMT迁移以后Windows无法进入系统</t>
        </is>
      </c>
      <c r="E201" t="inlineStr">
        <is>
          <t>虚拟机</t>
        </is>
      </c>
      <c r="F201" t="inlineStr">
        <is>
          <t>虚拟机开关机</t>
        </is>
      </c>
      <c r="G201" t="inlineStr">
        <is>
          <t>根据您描述的“SCMT迁移以后Windows无法进入系统”，这直接指向了迁移工具（SCMT）相关的操作结果异常。
① 虚拟机-014 虚拟机scmt迁移失败
   判断依据：用户明确提及“SCMT迁移以后”，且迁移后无法进入系统属于迁移落地失败的典型症状（如驱动注入失败、引导配置错误等），概率估计 ~90%
③ 以上都不是（请补充症状描述）
请回复 ① 或 ③ 完成确认。</t>
        </is>
      </c>
    </row>
    <row r="202">
      <c r="A202" t="inlineStr">
        <is>
          <t>Q2026040902077</t>
        </is>
      </c>
      <c r="B202" t="inlineStr">
        <is>
          <t>HCI</t>
        </is>
      </c>
      <c r="C202" t="inlineStr">
        <is>
          <t>6.11.1_R1</t>
        </is>
      </c>
      <c r="D202" t="inlineStr">
        <is>
          <t>linux虚拟机重启后无法正常进系统</t>
        </is>
      </c>
      <c r="E202" t="inlineStr">
        <is>
          <t>虚拟机</t>
        </is>
      </c>
      <c r="F202" t="inlineStr">
        <is>
          <t>虚拟机开关机</t>
        </is>
      </c>
      <c r="G202" t="inlineStr">
        <is>
          <t>根据客户描述“linux虚拟机重启后无法正常进系统”，分析该故障现象属于虚拟机操作系统层面的启动异常。Linux 虚拟机在重启后无法进入系统，最常见的原因通常指向文件系统损坏（由于非正常关机导致 fsck 卡住）或系统盘空间不足，同时也可能表现为引导过程中的黑屏或卡死。
您的问题可能属于以下故障之一，请确认：
① 虚拟机-044 虚拟机内部空间或文件系统异常
   判断依据：Linux 虚拟机重启后无法进入系统，极大概率是因为根分区空间满或文件系统损坏（fsck）导致引导流程中断，概率估计 ~60%
② 虚拟机-041 虚拟机内部黑屏
   判断依据：若虚拟机在引导阶段卡死且控制台无输出，表现为黑屏状态，导致用户无法进入系统，概率估计 ~30%
③ 以上都不是（请补充症状描述）
请回复 ① ② 或 ③ 完成确认。</t>
        </is>
      </c>
    </row>
    <row r="203">
      <c r="A203" t="inlineStr">
        <is>
          <t>Q2026040901699</t>
        </is>
      </c>
      <c r="B203" t="inlineStr">
        <is>
          <t>HCI</t>
        </is>
      </c>
      <c r="C203" t="inlineStr">
        <is>
          <t>HCI6.3.0R2</t>
        </is>
      </c>
      <c r="D203">
        <f>===海外工单信息====
    海外工单ID：20260407860026
    事件等级：Priority3
    产品线：HCI::6.3.0R2
====客户信息====
    客户ID：18189
    客户MDM ID：5791bd06e8a548689d1e97a88a78b2a2
    客户名称：TEK AUTOMOTIVE MALAYSIA SDN. BHD.【Malaysia】
    客户区域：Malaysia
    客户类型：
====工单信息====
设备部署模式：HCI 630R2
客户背景： 马来 / TEK AUTOMOTIVE
问题现象：机房跳电后， Win 2016 虚拟机无法开机
排查过程：
研发协助排查， 暂时发现是虚拟机有未安装的系统update
重要备注：
是否已开群（企微）：是
企微群名：【马来/TEK】- 机房跳电，虚拟机无法正常开机</f>
        <v/>
      </c>
      <c r="E203" t="inlineStr">
        <is>
          <t>虚拟机</t>
        </is>
      </c>
      <c r="F203" t="inlineStr">
        <is>
          <t>虚拟机开关机</t>
        </is>
      </c>
      <c r="G203" t="inlineStr">
        <is>
          <t>当前工单信息为空（客户描述：nan），无法提取关键实体或识别错误模式，无法进行故障分类定位。
请补充故障现象、告警日志或具体的失败任务信息，以便进行下一步诊断。</t>
        </is>
      </c>
    </row>
    <row r="204">
      <c r="A204" t="inlineStr">
        <is>
          <t>Q2026040900939</t>
        </is>
      </c>
      <c r="B204" t="inlineStr">
        <is>
          <t>HCI</t>
        </is>
      </c>
      <c r="C204" t="inlineStr">
        <is>
          <t>6.11.1R1</t>
        </is>
      </c>
      <c r="D204" t="inlineStr">
        <is>
          <t>升级后带GPU显卡的虚拟机启动不了，报错ubuntu22.04-大模型-ollama:启动失败。SR-IOV功能关闭失败，请稍后重试!</t>
        </is>
      </c>
      <c r="E204" t="inlineStr">
        <is>
          <t>虚拟机</t>
        </is>
      </c>
      <c r="F204" t="inlineStr">
        <is>
          <t>虚拟机开关机</t>
        </is>
      </c>
      <c r="G204" t="inlineStr">
        <is>
          <t>根据用户描述“虚拟机启动失败”及报错信息“SR-IOV功能关闭失败”，故障核心在于虚拟机启动过程中调用硬件直通功能异常。
您的问题可能属于以下故障之一，请确认：
① **虚拟机-003 虚拟机开机失败**
   判断依据：用户明确描述“虚拟机启动不了”，且报错信息包含“启动失败”。虽然涉及GPU和SR-IOV配置冲突，但直接表象为虚拟机无法正常开机运行，概率估计 ~95%
② **硬件-L2-显卡 显卡**
   判断依据：报错提示“SR-IOV功能关闭失败”，且问题发生在“带GPU显卡的虚拟机”上，指示可能存在显卡直通配置异常、驱动冲突或硬件固件问题导致无法分配资源，概率估计 ~40%
③ 以上都不是（请补充症状描述）
请回复 ①、② 或 ③ 完成确认。</t>
        </is>
      </c>
    </row>
    <row r="205">
      <c r="A205" t="inlineStr">
        <is>
          <t>Q2026040900804</t>
        </is>
      </c>
      <c r="B205" t="inlineStr">
        <is>
          <t>HCI</t>
        </is>
      </c>
      <c r="C205" t="inlineStr">
        <is>
          <t>6.10.0_R1</t>
        </is>
      </c>
      <c r="D205" t="inlineStr">
        <is>
          <t>Windows虚拟机重启后卡在补丁更新的界面，需要协助卸载补丁</t>
        </is>
      </c>
      <c r="E205" t="inlineStr">
        <is>
          <t>虚拟机</t>
        </is>
      </c>
      <c r="F205" t="inlineStr">
        <is>
          <t>虚拟机开关机</t>
        </is>
      </c>
      <c r="G205" t="inlineStr">
        <is>
          <t>根据您的描述“Windows虚拟机重启后卡在补丁更新的界面”，故障特征明确指向虚拟机内部操作系统层面的软件/补丁问题，符合 **虚拟机内部软件使用异常** 分类。同时，因表现为“卡住”，也符合虚拟机卡死的症状特征。
请确认以下故障分类：
① 虚拟机-043 虚拟机内部软件使用异常
   判断依据：客户描述“卡在补丁更新界面”且诉求为“协助卸载补丁”，明确指向Windows OS层面的补丁更新机制异常，概率估计 ~80%
② 虚拟机-039 虚拟机卡死无响应
   判断依据：虚拟机处于“卡在...界面”的状态，表现为操作系统停止响应或进程僵死，概率估计 ~15%
③ 以上都不是（请补充症状描述）
请回复 ① ② 或 ③ 完成确认。</t>
        </is>
      </c>
    </row>
    <row r="206">
      <c r="A206" t="inlineStr">
        <is>
          <t>Q2026040900755</t>
        </is>
      </c>
      <c r="B206" t="inlineStr">
        <is>
          <t>HCI</t>
        </is>
      </c>
      <c r="C206" t="inlineStr">
        <is>
          <t>6.11.1_R1</t>
        </is>
      </c>
      <c r="D206" t="inlineStr">
        <is>
          <t>虚拟机开机的时候，网络这里总是会停留好长时间，这是怎么回事呢</t>
        </is>
      </c>
      <c r="E206" t="inlineStr">
        <is>
          <t>虚拟机</t>
        </is>
      </c>
      <c r="F206" t="inlineStr">
        <is>
          <t>虚拟机开关机</t>
        </is>
      </c>
      <c r="G206" t="inlineStr">
        <is>
          <t>根据客户描述“虚拟机开机的时候，网络这里总是会停留好长时间”，这是典型的虚拟机开机流程卡顿现象，通常涉及开机任务阻塞或底层资源调度延迟。问题可能属于以下故障分类，请确认：
① **虚拟机-003 虚拟机开机失败**
   判断依据：开机过程中“网络”阶段停留时间长，属于开机任务执行异常。虽然最终可能成功，但在排障逻辑中需优先排查是否存在任务超时、端口分配阻塞或主机资源抢占导致的“假死”现象，符合开机失败/异常的诊断路径，概率估计 ~70%
② **虚拟机-036 虚拟机整体卡慢**
   判断依据：若虚拟机最终能开机成功，仅表现为该阶段耗时极长，且无明确的任务失败报错，则归类为性能或调度层面的卡慢问题，概率估计 ~25%
③ 以上都不是（请补充症状描述）
请回复 ① ② 或 ③ 完成确认。</t>
        </is>
      </c>
    </row>
    <row r="207">
      <c r="A207" t="inlineStr">
        <is>
          <t>Q2026040900093</t>
        </is>
      </c>
      <c r="B207" t="inlineStr">
        <is>
          <t>HCI</t>
        </is>
      </c>
      <c r="C207" t="inlineStr">
        <is>
          <t>6.10.0</t>
        </is>
      </c>
      <c r="D207" t="inlineStr">
        <is>
          <t>HCI 虚拟机，his系统 挂的磁盘有点大，虚拟机关机很慢 需要等30分钟，需要协助具体看下</t>
        </is>
      </c>
      <c r="E207" t="inlineStr">
        <is>
          <t>虚拟机</t>
        </is>
      </c>
      <c r="F207" t="inlineStr">
        <is>
          <t>虚拟机开关机</t>
        </is>
      </c>
      <c r="G207" t="inlineStr">
        <is>
          <t>根据您提供的工单信息，问题聚焦在虚拟机关机操作耗时过长，且关联了“磁盘大”、“HIS系统”等关键特征。
==== 意图识别 ====
根据 [虚拟机关机耗时30分钟] 及 [磁盘大/HIS系统] 的特征分析，您的问题可能属于以下故障之一，请确认：
① **虚拟机-004 虚拟机关机失败**
   判断依据：用户明确描述“虚拟机关机很慢，需要等30分钟”，虽然最终可能完成关机，但在HCI故障分类中，关机卡顿、超时或无响应通常归类于关机异常/失败范畴进行排查，概率估计 ~55%
② **虚拟机-038 虚拟机IO读写慢**
   判断依据：用户提到“his系统（数据库业务）”且“挂的磁盘有点大”，关机慢极可能是因为大磁盘脏数据刷新回写导致IO瓶颈，这是关机慢常见的底层根因，概率估计 ~40%
③ 以上都不是（请补充症状描述）
请回复 ① ② 或 ③ 完成确认。</t>
        </is>
      </c>
    </row>
    <row r="208">
      <c r="A208" t="inlineStr">
        <is>
          <t>Q2026040900053</t>
        </is>
      </c>
      <c r="B208" t="inlineStr">
        <is>
          <t>HCI</t>
        </is>
      </c>
      <c r="C208" t="inlineStr"/>
      <c r="D208" t="inlineStr">
        <is>
          <t>HCI虚拟机做开机备份，ERP 虚拟机能开机 ，但是虚拟机内部部分服务无法起来。把备份任务已经取消了。影响到客户的核心业务</t>
        </is>
      </c>
      <c r="E208" t="inlineStr">
        <is>
          <t>虚拟机</t>
        </is>
      </c>
      <c r="F208" t="inlineStr">
        <is>
          <t>虚拟机开关机</t>
        </is>
      </c>
      <c r="G208" t="inlineStr">
        <is>
          <t>根据客户描述“虚拟机能开机，但内部部分服务无法起来”，且存在“备份任务”背景，问题聚焦于虚拟机内部业务可用性或底层资源争抢导致的应用启动失败。
根据故障现象，您的问题可能属于以下故障之一，请确认：
① **虚拟机-043 虚拟机内部软件使用异常**
   判断依据：客户明确描述“ERP 虚拟机能开机，但是虚拟机内部部分服务无法起来”，这是典型的Guest OS内部应用层故障，概率估计 ~70%
② **虚拟机-036 虚拟机整体卡慢**
   判断依据：考虑到“做开机备份”可能产生快照导致IO负载升高，或取消任务后残留快照合并占用资源，可能导致虚拟机响应缓慢，进而导致内部服务启动超时或无响应，概率估计 ~25%
③ 以上都不是（请补充症状描述）
请回复 ① ② 或 ③ 完成确认。</t>
        </is>
      </c>
    </row>
    <row r="209">
      <c r="A209" t="inlineStr">
        <is>
          <t>Q2026040900021</t>
        </is>
      </c>
      <c r="B209" t="inlineStr">
        <is>
          <t>HCI</t>
        </is>
      </c>
      <c r="C209" t="inlineStr">
        <is>
          <t>HCI6.9.1</t>
        </is>
      </c>
      <c r="D209" t="inlineStr">
        <is>
          <t>昨晚批量虚拟机重启了，回溯原因</t>
        </is>
      </c>
      <c r="E209" t="inlineStr">
        <is>
          <t>虚拟机</t>
        </is>
      </c>
      <c r="F209" t="inlineStr">
        <is>
          <t>虚拟机开关机</t>
        </is>
      </c>
      <c r="G209" t="inlineStr">
        <is>
          <t>根据您提供的“昨晚批量虚拟机重启”现象，结合HCI平台机制，虚拟机批量非计划重启通常由物理主机故障或高可用（HA）机制触发。以下是故障分类推断：
① 平台-005 主机离线或异常重启
   判断依据：虚拟机批量重启的最常见原因是其所在的物理主机发生异常掉电、系统崩溃或重启，导致业务虚拟机在其他节点被拉起，概率估计 ~70%
② 虚拟机-033 虚拟机异常HA
   判断依据：若物理主机状态正常，可能是管理网络心跳丢失或存储链路抖动导致HA机制误触发，引发虚拟机在集群内重拉起，概率估计 ~25%
③ 以上都不是（请补充症状描述）
请回复 ① ② 或 ③ 完成确认。</t>
        </is>
      </c>
    </row>
    <row r="210">
      <c r="A210" t="inlineStr">
        <is>
          <t>Q2026040801258</t>
        </is>
      </c>
      <c r="B210" t="inlineStr">
        <is>
          <t>HCI</t>
        </is>
      </c>
      <c r="C210" t="inlineStr">
        <is>
          <t>6.3.0_R3</t>
        </is>
      </c>
      <c r="D210" t="inlineStr">
        <is>
          <t>HCI 虚拟机，系统有问题，PE进入系统，挂盘4个，virtio的盘 进不去系统，不开virtio盘 超过了4个盘无法开机 需要协助处理</t>
        </is>
      </c>
      <c r="E210" t="inlineStr">
        <is>
          <t>虚拟机</t>
        </is>
      </c>
      <c r="F210" t="inlineStr">
        <is>
          <t>虚拟机开关机</t>
        </is>
      </c>
      <c r="G210" t="inlineStr">
        <is>
          <t>根据您提供的故障现象，客户描述了虚拟机磁盘控制器选择的两难困境：使用 IDE 控制器受限于 4 盘挂载上限导致无法开机，使用 VirtIO 控制器又因系统问题无法进入系统。这属于典型的虚拟机配置与启动故障。
您的问题可能属于以下故障之一，请确认：
① 虚拟机-003 虚拟机开机失败
   判断依据：客户明确描述“超过了4个盘无法开机”，这是 IDE 控制器挂载盘符数量的硬性限制导致的虚拟机开机失败，概率估计 ~70%
② 虚拟机-043 虚拟机内部软件使用异常
   判断依据：客户提及“virtio的盘 进不去系统”，暗示虚拟机内部操作系统可能缺少 VirtIO 驱动或驱动配置异常导致系统无法引导，属于虚拟机内部软件/驱动问题，概率估计 ~25%
③ 以上都不是（请补充症状描述）
请回复 ① ② 或 ③ 完成确认。</t>
        </is>
      </c>
    </row>
    <row r="211">
      <c r="A211" t="inlineStr">
        <is>
          <t>Q2026040801057</t>
        </is>
      </c>
      <c r="B211" t="inlineStr">
        <is>
          <t>HCI</t>
        </is>
      </c>
      <c r="C211" t="inlineStr">
        <is>
          <t>HCI5.3</t>
        </is>
      </c>
      <c r="D211" t="inlineStr">
        <is>
          <t>多台虚拟机无法启动</t>
        </is>
      </c>
      <c r="E211" t="inlineStr">
        <is>
          <t>虚拟机</t>
        </is>
      </c>
      <c r="F211" t="inlineStr">
        <is>
          <t>虚拟机开关机</t>
        </is>
      </c>
      <c r="G211" t="inlineStr">
        <is>
          <t>根据客户描述明确提及“多台虚拟机无法启动”，您的问题可能属于以下故障之一，请确认：
① 虚拟机-003 虚拟机开机失败
   判断依据：客户描述“多台虚拟机无法启动”，直接对应虚拟机开机失败症状，概率估计 ~95%
③ 以上都不是（请补充症状描述）
请回复 ① 或 ③ 完成确认。</t>
        </is>
      </c>
    </row>
    <row r="212">
      <c r="A212" t="inlineStr">
        <is>
          <t>Q2026040800889</t>
        </is>
      </c>
      <c r="B212" t="inlineStr">
        <is>
          <t>HCI</t>
        </is>
      </c>
      <c r="C212" t="inlineStr">
        <is>
          <t>6.11.1</t>
        </is>
      </c>
      <c r="D212" t="inlineStr">
        <is>
          <t>服务器海光CPU，虚拟机是AMD的，没有识别到主机cpu，若是开启hostcpu后虚拟机起不来，windows</t>
        </is>
      </c>
      <c r="E212" t="inlineStr">
        <is>
          <t>虚拟机</t>
        </is>
      </c>
      <c r="F212" t="inlineStr">
        <is>
          <t>虚拟机开关机</t>
        </is>
      </c>
      <c r="G212" t="inlineStr">
        <is>
          <t>根据用户描述“开启hostcpu后虚拟机起不来”，且涉及CPU型号兼容性问题，您的问题可能属于以下故障之一，请确认：
① 虚拟机-003 虚拟机开机失败
   判断依据：用户明确描述“若是开启hostcpu后虚拟机起不来”，核心故障表现为虚拟机无法启动，涉及海光CPU与HostCPU模式兼容性导致的启动失败，概率估计 ~95%
③ 以上都不是（请补充症状描述）
请回复 ① 或 ③ 完成确认。</t>
        </is>
      </c>
    </row>
    <row r="213">
      <c r="A213" t="inlineStr">
        <is>
          <t>Q2026040800778</t>
        </is>
      </c>
      <c r="B213" t="inlineStr">
        <is>
          <t>HCI</t>
        </is>
      </c>
      <c r="C213" t="inlineStr">
        <is>
          <t>HCI6.11.1_R1</t>
        </is>
      </c>
      <c r="D213" t="inlineStr">
        <is>
          <t>一台虚拟机反馈提示正在重启卡住，需要协助处理</t>
        </is>
      </c>
      <c r="E213" t="inlineStr">
        <is>
          <t>虚拟机</t>
        </is>
      </c>
      <c r="F213" t="inlineStr">
        <is>
          <t>虚拟机开关机</t>
        </is>
      </c>
      <c r="G213" t="inlineStr">
        <is>
          <t>根据您提供的故障现象“虚拟机反馈提示正在重启卡住”，这是一个典型的虚拟机生命周期操作异常。
==== 统一格式 ====
根据故障现象描述，该问题定位为虚拟机重启操作未完成，请确认：
① 虚拟机-005 虚拟机重启失败
   判断依据：用户明确描述虚拟机状态为“正在重启卡住”，直接对应虚拟机重启任务执行异常或超时，概率估计 ~95%
③ 以上都不是（请补充症状描述）
请回复 ① 或 ③ 完成确认。</t>
        </is>
      </c>
    </row>
    <row r="214">
      <c r="A214" t="inlineStr">
        <is>
          <t>Q2026040800773</t>
        </is>
      </c>
      <c r="B214" t="inlineStr">
        <is>
          <t>HCI</t>
        </is>
      </c>
      <c r="C214" t="inlineStr">
        <is>
          <t>HCI6.11.1</t>
        </is>
      </c>
      <c r="D214" t="inlineStr">
        <is>
          <t>虚拟机启动报错 启动虚拟机失败，虚拟机内部错误</t>
        </is>
      </c>
      <c r="E214" t="inlineStr">
        <is>
          <t>虚拟机</t>
        </is>
      </c>
      <c r="F214" t="inlineStr">
        <is>
          <t>虚拟机开关机</t>
        </is>
      </c>
      <c r="G214" t="inlineStr">
        <is>
          <t>根据用户描述“虚拟机启动报错 启动虚拟机失败，虚拟机内部错误”，您的问题可能属于以下故障之一，请确认：
① 虚拟机-003 虚拟机开机失败
   判断依据：用户明确描述“启动虚拟机失败”，且报错“虚拟机内部错误”是典型的虚拟机开机阶段 libvirt/QEMU 层面反馈的故障现象，概率估计 ~95%
③ 以上都不是（请补充症状描述）
请回复 ① 或 ③ 完成确认。</t>
        </is>
      </c>
    </row>
    <row r="215">
      <c r="A215" t="inlineStr">
        <is>
          <t>Q2026040800670</t>
        </is>
      </c>
      <c r="B215" t="inlineStr">
        <is>
          <t>HCI</t>
        </is>
      </c>
      <c r="C215" t="inlineStr">
        <is>
          <t>6.10.0R2</t>
        </is>
      </c>
      <c r="D215" t="inlineStr">
        <is>
          <t xml:space="preserve">vm纳管迁移到hci 无法开机 </t>
        </is>
      </c>
      <c r="E215" t="inlineStr">
        <is>
          <t>虚拟机</t>
        </is>
      </c>
      <c r="F215" t="inlineStr">
        <is>
          <t>虚拟机开关机</t>
        </is>
      </c>
      <c r="G215" t="inlineStr">
        <is>
          <t>根据客户描述中明确提及“vm纳管迁移”及“无法开机”的关键上下文，您的问题可能属于以下故障之一，请确认：
① 虚拟机-021 虚拟机vmware纳管迁移失败
   判断依据：用户明确描述“vm纳管迁移到hci”后出现“无法开机”，该场景高度符合迁移后因驱动兼容性、引导模式或配置转换问题导致的迁移后启动故障，概率估计 ~70%
② 虚拟机-003 虚拟机开机失败
   判断依据：故障的最终表现形态为“无法开机”，若排除迁移特有的兼容性问题（如宿主机资源不足、存储链路异常等通用原因），则归类为此通用开机故障，概率估计 ~25%
③ 以上都不是（请补充症状描述）
请回复 ① ② 或 ③ 完成确认。</t>
        </is>
      </c>
    </row>
    <row r="216">
      <c r="A216" t="inlineStr">
        <is>
          <t>Q2026040800548</t>
        </is>
      </c>
      <c r="B216" t="inlineStr">
        <is>
          <t>HCI</t>
        </is>
      </c>
      <c r="C216" t="inlineStr">
        <is>
          <t>6.9.1</t>
        </is>
      </c>
      <c r="D216" t="inlineStr">
        <is>
          <t>HCI 业务虚拟机 出现宕机，重启虚拟机后恢复 ，应用厂商反馈说有硬件问题，但是HCI平台没有什么告警 需要HCI这边协助排查具体看下。</t>
        </is>
      </c>
      <c r="E216" t="inlineStr">
        <is>
          <t>虚拟机</t>
        </is>
      </c>
      <c r="F216" t="inlineStr">
        <is>
          <t>虚拟机开关机</t>
        </is>
      </c>
      <c r="G216" t="inlineStr">
        <is>
          <t>根据客户描述“虚拟机宕机、重启恢复”且“平台无硬件告警”，问题可能属于以下故障之一，请确认：
① 虚拟机-039 虚拟机卡死无响应
   判断依据：客户描述虚拟机“出现宕机”，重启后恢复，且HCI平台无硬件告警，符合虚拟机进程假死或内部系统卡死特征，概率估计 ~70%
② 虚拟机-042 虚拟机内部蓝屏
   判断依据：应用厂商反馈“硬件问题”可能指代虚拟机内部因驱动或资源冲突导致的系统崩溃（蓝屏），这也是“宕机”的常见表现形式，概率估计 ~25%
③ 以上都不是（请补充症状描述）
请回复 ① ② 或 ③ 完成确认。</t>
        </is>
      </c>
    </row>
    <row r="217">
      <c r="A217" t="inlineStr">
        <is>
          <t>Q2026040701777</t>
        </is>
      </c>
      <c r="B217" t="inlineStr">
        <is>
          <t>HCI</t>
        </is>
      </c>
      <c r="C217" t="inlineStr">
        <is>
          <t>6.9.1</t>
        </is>
      </c>
      <c r="D217" t="inlineStr">
        <is>
          <t>存储满了导致虚拟机挂起</t>
        </is>
      </c>
      <c r="E217" t="inlineStr">
        <is>
          <t>虚拟机</t>
        </is>
      </c>
      <c r="F217" t="inlineStr">
        <is>
          <t>虚拟机开关机</t>
        </is>
      </c>
      <c r="G217" t="inlineStr">
        <is>
          <t>根据您提供的信息，故障现象涉及“存储空间不足”导致“虚拟机挂起”，综合分析如下：
① 存储-018 虚拟存储空间不足或满或高
   判断依据：用户明确描述“存储满了”，这是导致虚拟机挂起的根本原因，概率估计 ~70%
② 虚拟机-009 虚拟机异常挂起
   判断依据：用户明确描述“虚拟机挂起”，这是存储满后直接导致的业务受损症状，概率估计 ~25%
③ 以上都不是（请补充症状描述）
请回复 ① ② 或 ③ 完成确认。</t>
        </is>
      </c>
    </row>
    <row r="218">
      <c r="A218" t="inlineStr">
        <is>
          <t>Q2026040701770</t>
        </is>
      </c>
      <c r="B218" t="inlineStr">
        <is>
          <t>HCI</t>
        </is>
      </c>
      <c r="C218" t="inlineStr">
        <is>
          <t>6.10.0_R2</t>
        </is>
      </c>
      <c r="D218" t="inlineStr">
        <is>
          <t>备份一体机上恢复备份到hci上开机
虚拟机无法开机
反馈操作系统兼容</t>
        </is>
      </c>
      <c r="E218" t="inlineStr">
        <is>
          <t>虚拟机</t>
        </is>
      </c>
      <c r="F218" t="inlineStr">
        <is>
          <t>虚拟机开关机</t>
        </is>
      </c>
      <c r="G218" t="inlineStr">
        <is>
          <t>根据客户描述“虚拟机无法开机”及“反馈操作系统兼容”，问题核心指向虚拟机电源开启阶段失败。虽然场景涉及备份恢复，但故障现象明确为开机动作受阻。
您的故障可能属于以下分类，请确认：
① 虚拟机-003 虚拟机开机失败
   判断依据：客户明确描述“虚拟机无法开机”，且提示“操作系统兼容”，符合开机阶段因配置或兼容性报错导致启动中断的特征，概率估计 ~85%
② 虚拟机-029 虚拟机备份恢复失败
   判断依据：上下文涉及“备份一体机上恢复备份”，若因恢复过程配置不完整（如OS类型未正确识别）导致无法开机，可归属于恢复流程异常，概率估计 ~15%
③ 以上都不是（请补充症状描述）
请回复 ① ② 或 ③ 完成确认。</t>
        </is>
      </c>
    </row>
    <row r="219">
      <c r="A219" t="inlineStr">
        <is>
          <t>Q2026040701720</t>
        </is>
      </c>
      <c r="B219" t="inlineStr">
        <is>
          <t>HCI</t>
        </is>
      </c>
      <c r="C219" t="inlineStr"/>
      <c r="D219" t="inlineStr">
        <is>
          <t>虚拟机异常关机重启查原因</t>
        </is>
      </c>
      <c r="E219" t="inlineStr">
        <is>
          <t>虚拟机</t>
        </is>
      </c>
      <c r="F219" t="inlineStr">
        <is>
          <t>虚拟机开关机</t>
        </is>
      </c>
      <c r="G219" t="inlineStr">
        <is>
          <t>根据您提供的描述“虚拟机异常关机重启查原因”，这通常指向虚拟机非正常关闭后的恢复行为或底层物理主机故障。
结合深信服 HCI 故障分类基准，最可能的故障分类如下：
① **虚拟机-033 虚拟机异常HA**
   判断依据：描述中提到“异常关机重启”，符合 HCI 平台 HA（高可用）机制的典型特征。当宿主机故障或失去连接时，虚拟机会被强制关闭并在其他主机上重新拉起，用户视角即为异常关机后自动重启。概率估计 ~70%
② **平台-005 主机离线或异常重启**
   判断依据：若物理主机发生异常重启或掉电，会导致其上运行的所有虚拟机瞬间中断并随后重启（如果配置了HA），根源在主机层面。概率估计 ~25%
③ 以上都不是（请补充症状描述）
请回复 ① ② 或 ③ 完成确认。</t>
        </is>
      </c>
    </row>
    <row r="220">
      <c r="A220" t="inlineStr">
        <is>
          <t>Q2026040701339</t>
        </is>
      </c>
      <c r="B220" t="inlineStr">
        <is>
          <t>HCI</t>
        </is>
      </c>
      <c r="C220" t="inlineStr">
        <is>
          <t>6.11.1_R1</t>
        </is>
      </c>
      <c r="D220" t="inlineStr">
        <is>
          <t>1、云虚拟机自动关机需要协助排查
2、备份空间占用问题需要协助</t>
        </is>
      </c>
      <c r="E220" t="inlineStr">
        <is>
          <t>虚拟机</t>
        </is>
      </c>
      <c r="F220" t="inlineStr">
        <is>
          <t>虚拟机开关机</t>
        </is>
      </c>
      <c r="G220" t="inlineStr"/>
    </row>
    <row r="221">
      <c r="A221" t="inlineStr">
        <is>
          <t>Q2026040701117</t>
        </is>
      </c>
      <c r="B221" t="inlineStr">
        <is>
          <t>HCI</t>
        </is>
      </c>
      <c r="C221" t="inlineStr">
        <is>
          <t>HCI6.10.0_R2</t>
        </is>
      </c>
      <c r="D221" t="inlineStr">
        <is>
          <t>【测试】虚拟机开机启动失败，ARM平台虚拟机需要设置Host CPU</t>
        </is>
      </c>
      <c r="E221" t="inlineStr">
        <is>
          <t>虚拟机</t>
        </is>
      </c>
      <c r="F221" t="inlineStr">
        <is>
          <t>虚拟机开关机</t>
        </is>
      </c>
      <c r="G221" t="inlineStr">
        <is>
          <t>根据用户描述直接提及“虚拟机开机启动失败”，您的问题可能属于以下故障之一，请确认：
① 虚拟机-003 虚拟机开机失败
   判断依据：用户描述明确指出“虚拟机开机启动失败”，ARM平台CPU模式设置问题属于开机失败的常见原因之一。概率估计 ~99%
③ 以上都不是（请补充症状描述）
请回复 ① 或 ③ 完成确认。</t>
        </is>
      </c>
    </row>
    <row r="222">
      <c r="A222" t="inlineStr">
        <is>
          <t>Q2026040701017</t>
        </is>
      </c>
      <c r="B222" t="inlineStr">
        <is>
          <t>HCI</t>
        </is>
      </c>
      <c r="C222" t="inlineStr"/>
      <c r="D222" t="inlineStr">
        <is>
          <t>第三方平台虚拟机导入到HCI，开机卡住，需要协助处理</t>
        </is>
      </c>
      <c r="E222" t="inlineStr">
        <is>
          <t>虚拟机</t>
        </is>
      </c>
      <c r="F222" t="inlineStr">
        <is>
          <t>虚拟机开关机</t>
        </is>
      </c>
      <c r="G222" t="inlineStr">
        <is>
          <t>根据您提供的故障现象“第三方平台虚拟机导入到HCI，开机卡住”，故障核心在于虚拟机的启动阶段。
根据 [用户明确描述“开机卡住”]，您的问题可能属于以下故障之一，请确认：
① **虚拟机-003 虚拟机开机失败**
   判断依据：客户描述“开机卡住”，明确指向虚拟机启动任务执行受阻或超时，概率估计 ~90%
② **虚拟机-006 虚拟机导入失败**
   判断依据：虽然主要表现是开机卡住，但考虑到涉及“第三方平台导入”场景，可能存在导入配置（如驱动、磁盘格式）异常导致的衍生问题，概率估计 ~10%
③ 以上都不是（请补充症状描述）
请回复 ① ② 或 ③ 完成确认。</t>
        </is>
      </c>
    </row>
    <row r="223">
      <c r="A223" t="inlineStr">
        <is>
          <t>Q2026040700920</t>
        </is>
      </c>
      <c r="B223" t="inlineStr">
        <is>
          <t>HCI</t>
        </is>
      </c>
      <c r="C223" t="inlineStr">
        <is>
          <t>6.11.1_R1</t>
        </is>
      </c>
      <c r="D223" t="inlineStr">
        <is>
          <t>HCI，SCP纳管，SCP纳管了vmware和HCI，跨集群迁移，SCP下发了任务从vmware迁移到HCI，可以正常迁移，完成后的虚拟机无法正常启动，迁移3台有问题，客户还有70台linux 终端虚拟机， 1、虚拟机迁移到HCI以后如果版本不兼容，能否正常启动对应的服务 2、能否通过工具在客户那边网络环境跑一下评估对应系统能否兼容。</t>
        </is>
      </c>
      <c r="E223" t="inlineStr">
        <is>
          <t>虚拟机</t>
        </is>
      </c>
      <c r="F223" t="inlineStr">
        <is>
          <t>虚拟机开关机</t>
        </is>
      </c>
      <c r="G223" t="inlineStr">
        <is>
          <t>根据您描述的“SCP纳管VMware迁移至HCI，迁移完成后虚拟机无法启动”的故障现象，结合用户询问的兼容性评估需求，建议确认以下分类：
① 虚拟机-021 虚拟机vmware纳管迁移失败
   判断依据：用户明确描述“SCP下发了任务从vmware迁移到HCI...完成后的虚拟机无法正常启动”，故障场景高度聚焦于跨平台（VMware至HCI）迁移后的启动异常，概率估计 ~70%
② 虚拟机-003 虚拟机开机失败
   判断依据：用户描述的核心症状为“虚拟机无法正常启动”，若不关注迁移前置动作，仅看最终状态则属于开机失败范畴，概率估计 ~25%
③ 以上都不是（请补充症状描述）
请回复 ① ② 或 ③ 完成确认。</t>
        </is>
      </c>
    </row>
    <row r="224">
      <c r="A224" t="inlineStr">
        <is>
          <t>Q2026040700770</t>
        </is>
      </c>
      <c r="B224" t="inlineStr">
        <is>
          <t>HCI</t>
        </is>
      </c>
      <c r="C224" t="inlineStr">
        <is>
          <t>6.10.0_R2</t>
        </is>
      </c>
      <c r="D224" t="inlineStr">
        <is>
          <t>虚拟机无法开机核心业务</t>
        </is>
      </c>
      <c r="E224" t="inlineStr">
        <is>
          <t>虚拟机</t>
        </is>
      </c>
      <c r="F224" t="inlineStr">
        <is>
          <t>虚拟机开关机</t>
        </is>
      </c>
      <c r="G224" t="inlineStr">
        <is>
          <t>根据客户描述中明确提到的“虚拟机无法开机”这一核心症状，该问题直接对应虚拟机生命周期管理中的启动故障场景。
您的问题可能属于以下故障之一，请确认：
① 虚拟机-003 虚拟机开机失败
   判断依据：客户描述明确指出“虚拟机无法开机”，直接命中虚拟机启动操作失败的特征，概率估计 ~95%
③ 以上都不是（请补充症状描述）
请回复 ① 或 ③ 完成确认。</t>
        </is>
      </c>
    </row>
    <row r="225">
      <c r="A225" t="inlineStr">
        <is>
          <t>Q2026040700637</t>
        </is>
      </c>
      <c r="B225" t="inlineStr">
        <is>
          <t>HCI</t>
        </is>
      </c>
      <c r="C225" t="inlineStr">
        <is>
          <t>6.11.1R1</t>
        </is>
      </c>
      <c r="D225" t="inlineStr">
        <is>
          <t>虚拟机关机的时候关不掉 关闭电源以后重新开机进不去系统</t>
        </is>
      </c>
      <c r="E225" t="inlineStr">
        <is>
          <t>虚拟机</t>
        </is>
      </c>
      <c r="F225" t="inlineStr">
        <is>
          <t>虚拟机开关机</t>
        </is>
      </c>
      <c r="G225" t="inlineStr">
        <is>
          <t>根据您的描述，故障涉及“关机卡死”及“强制关机后系统损坏”两个连续现象，可能属于以下故障分类，请确认：
① 虚拟机-004 虚拟机关机失败
   判断依据：明确描述“关机的时候关不掉”，这是故障的起始症状，概率估计 ~50%
② 虚拟机-044 虚拟机内部空间或文件系统异常
   判断依据：描述“关闭电源（强制关机）以后重新开机进不去系统”，强制断电极易导致文件系统损坏或引导丢失，概率估计 ~45%
③ 以上都不是（请补充症状描述）
请回复 ① ② 或 ③ 完成确认。</t>
        </is>
      </c>
    </row>
    <row r="226">
      <c r="A226" t="inlineStr">
        <is>
          <t>Q2026040700591</t>
        </is>
      </c>
      <c r="B226" t="inlineStr">
        <is>
          <t>HCI</t>
        </is>
      </c>
      <c r="C226" t="inlineStr"/>
      <c r="D226" t="inlineStr">
        <is>
          <t>VM 虚拟机导入到HCI 之后 不能开机  提示报错如下 内部里启虚拟机回调启动虚拟机失败!</t>
        </is>
      </c>
      <c r="E226" t="inlineStr">
        <is>
          <t>虚拟机</t>
        </is>
      </c>
      <c r="F226" t="inlineStr">
        <is>
          <t>虚拟机开关机</t>
        </is>
      </c>
      <c r="G226" t="inlineStr">
        <is>
          <t>根据您提供的“虚拟机导入后无法开机”及报错“内部里启虚拟机回调启动虚拟机失败”的信息，故障现象明确指向虚拟机开机流程异常。此报错通常表明平台在调用底层接口启动虚拟机时受阻，可能涉及配置兼容性、资源或存储问题。
请您确认故障分类：
① 虚拟机-003 虚拟机开机失败
   判断依据：用户明确描述“不能开机”，且系统提示报错“回调启动虚拟机失败”，直接对应开机失败流程，概率估计 ~95%
③ 以上都不是（请补充症状描述）
请回复 ① 或 ③ 完成确认。</t>
        </is>
      </c>
    </row>
    <row r="227">
      <c r="A227" t="inlineStr">
        <is>
          <t>Q2026040700584</t>
        </is>
      </c>
      <c r="B227" t="inlineStr">
        <is>
          <t>HCI</t>
        </is>
      </c>
      <c r="C227" t="inlineStr">
        <is>
          <t>6.8.0_R2</t>
        </is>
      </c>
      <c r="D227" t="inlineStr">
        <is>
          <t>业务无法拉起，通过备份恢复的虚拟机开机卡在锁屏页面无法操作，重启后进不去系统</t>
        </is>
      </c>
      <c r="E227" t="inlineStr">
        <is>
          <t>虚拟机</t>
        </is>
      </c>
      <c r="F227" t="inlineStr">
        <is>
          <t>虚拟机开关机</t>
        </is>
      </c>
      <c r="G227" t="inlineStr">
        <is>
          <t>根据客户描述的“通过备份恢复的虚拟机”这一关键上下文，以及“开机卡在锁屏无法操作”、“重启后进不去系统”的症状，故障根源高度疑似指向恢复操作的有效性或兼容性问题。
您的问题可能属于以下故障之一，请确认：
① 虚拟机-029 虚拟机备份恢复失败
   判断依据：客户明确指出故障对象为“通过备份恢复的虚拟机”，且症状为系统不可用（进不去系统、业务无法拉起），这通常意味着备份文件本身损坏、恢复过程数据不一致或驱动/兼容性异常，概率估计 ~70%
② 虚拟机-039 虚拟机卡死无响应
   判断依据：描述中提到“开机卡在锁屏页面无法操作”，这符合虚拟机运行状态卡死、控制台无响应的特征，概率估计 ~25%
③ 以上都不是（请补充症状描述）
请回复 ① ② 或 ③ 完成确认。</t>
        </is>
      </c>
    </row>
    <row r="228">
      <c r="A228" t="inlineStr">
        <is>
          <t>Q2026040600156</t>
        </is>
      </c>
      <c r="B228" t="inlineStr">
        <is>
          <t>HCI</t>
        </is>
      </c>
      <c r="C228" t="inlineStr"/>
      <c r="D228" t="inlineStr">
        <is>
          <t>【紧急报障】：客户通过数字化服务平台发起的紧急报障，请尽快联系处理！&amp;lt;br&amp;gt;【工单描述】：虚拟机启动不了</t>
        </is>
      </c>
      <c r="E228" t="inlineStr">
        <is>
          <t>虚拟机</t>
        </is>
      </c>
      <c r="F228" t="inlineStr">
        <is>
          <t>虚拟机开关机</t>
        </is>
      </c>
      <c r="G228" t="inlineStr">
        <is>
          <t>根据客户描述“虚拟机启动不了”，该症状直接对应虚拟机开机操作失败的场景。
① 虚拟机-003 虚拟机开机失败
   判断依据：客户描述“虚拟机启动不了”，在 HCI 平台术语中，“启动”对应“开机”操作，符合开机失败特征，概率估计 ~95%
③ 以上都不是（请补充症状描述）
请回复 ① 或 ③ 完成确认。</t>
        </is>
      </c>
    </row>
    <row r="229">
      <c r="A229" t="inlineStr">
        <is>
          <t>Q2026040500106</t>
        </is>
      </c>
      <c r="B229" t="inlineStr">
        <is>
          <t>HCI</t>
        </is>
      </c>
      <c r="C229" t="inlineStr">
        <is>
          <t>6.11.1R1</t>
        </is>
      </c>
      <c r="D229" t="inlineStr">
        <is>
          <t>一台虚拟机反复重启</t>
        </is>
      </c>
      <c r="E229" t="inlineStr">
        <is>
          <t>虚拟机</t>
        </is>
      </c>
      <c r="F229" t="inlineStr">
        <is>
          <t>虚拟机开关机</t>
        </is>
      </c>
      <c r="G229" t="inlineStr">
        <is>
          <t>根据客户描述“一台虚拟机反复重启”，该现象通常指向虚拟机内部系统崩溃（如蓝屏/panic）后自动重启，或平台层高可用/进程异常导致的反复拉起。以下是可能故障分类：
① 虚拟机-042 虚拟机内部蓝屏
   判断依据：客户描述“反复重启”，最常见原因为虚拟机内部操作系统遭遇严重错误（如Windows蓝屏、Linux Kernel Panic）导致崩溃后自动重启，概率估计 ~60%
② 虚拟机-033 虚拟机异常HA
   判断依据：若虚拟机进程异常退出或存在主机资源竞争/心跳异常，可能触发平台HA机制反复重启虚拟机，概率估计 ~30%
③ 以上都不是（请补充症状描述）
请回复 ① ② 或 ③ 完成确认。</t>
        </is>
      </c>
    </row>
    <row r="230">
      <c r="A230" t="inlineStr">
        <is>
          <t>Q2026040500002</t>
        </is>
      </c>
      <c r="B230" t="inlineStr">
        <is>
          <t>HCI</t>
        </is>
      </c>
      <c r="C230" t="inlineStr">
        <is>
          <t>6.11.1</t>
        </is>
      </c>
      <c r="D230" t="inlineStr">
        <is>
          <t>一台虚拟机无响应重启了，需要分析原因，windows 系统日志未看到异常</t>
        </is>
      </c>
      <c r="E230" t="inlineStr">
        <is>
          <t>虚拟机</t>
        </is>
      </c>
      <c r="F230" t="inlineStr">
        <is>
          <t>虚拟机开关机</t>
        </is>
      </c>
      <c r="G230" t="inlineStr">
        <is>
          <t>根据您提供的「虚拟机无响应重启」且「Windows 系统日志无异常」的现象，这通常指向虚拟机在底层发生了卡死或触发了平台侧的高可用机制。
您的问题可能属于以下故障之一，请确认：
① **虚拟机-039 虚拟机卡死无响应**
   判断依据：客户描述“无响应”，且“Windows 系统日志未看到异常”，这符合虚拟机在底层 Hypervisor 层面卡死（如进程挂起、资源争抢死锁）的特征，系统内部无法记录日志。概率估计 ~70%
② **虚拟机-033 虚拟机异常HA**
   判断依据：虚拟机发生了“重启”，如果是平台自动检测到心跳丢失或宿主机故障后触发的 HA（高可用）切换，会导致虚拟机在其他节点重启，内部系统通常无异常记录。概率估计 ~25%
③ 以上都不是（请补充症状描述）
请回复 ① ② 或 ③ 完成确认。</t>
        </is>
      </c>
    </row>
    <row r="231">
      <c r="A231" t="inlineStr">
        <is>
          <t>Q2026040400073</t>
        </is>
      </c>
      <c r="B231" t="inlineStr">
        <is>
          <t>HCI</t>
        </is>
      </c>
      <c r="C231" t="inlineStr">
        <is>
          <t>6.8.0R2</t>
        </is>
      </c>
      <c r="D231" t="inlineStr">
        <is>
          <t>需要协助恢复去年的数据
中台朱伟  原工单 Q2025093001226-宁夏理工学院-超融合虚拟机开机不起来</t>
        </is>
      </c>
      <c r="E231" t="inlineStr">
        <is>
          <t>虚拟机</t>
        </is>
      </c>
      <c r="F231" t="inlineStr">
        <is>
          <t>虚拟机开关机</t>
        </is>
      </c>
      <c r="G231" t="inlineStr">
        <is>
          <t>根据您提供的工单信息，用户诉求为“恢复去年的数据”，并结合原工单“虚拟机开机不起来”的背景，故障指向数据可用性或虚拟机状态异常。请确认以下分类：
① 虚拟机-048 虚拟机数据丢失
   判断依据：用户明确提出“恢复去年的数据”，表明当前业务数据不可用或需回溯历史状态，符合数据丢失或找回的场景，概率估计 ~60%
② 虚拟机-003 虚拟机开机失败
   判断依据：原工单历史记录为“虚拟机开机不起来”，若当前虚拟机仍处于无法开机状态导致数据无法读取，需优先解决开机问题，概率估计 ~30%
③ 以上都不是（请补充症状描述）
请回复 ① ② 或 ③ 完成确认。</t>
        </is>
      </c>
    </row>
    <row r="232">
      <c r="A232" t="inlineStr">
        <is>
          <t>Q2026040400043</t>
        </is>
      </c>
      <c r="B232" t="inlineStr">
        <is>
          <t>HCI</t>
        </is>
      </c>
      <c r="C232" t="inlineStr">
        <is>
          <t>6.11.1_R1</t>
        </is>
      </c>
      <c r="D232" t="inlineStr">
        <is>
          <t>【服务升级】：服务商通过数字化服务平台发起服务升级，请尽快联系服务商处理！&lt;br&gt;【工单描述】：超融合里面业务虚拟机显示内部重启，排查下为什么重启</t>
        </is>
      </c>
      <c r="E232" t="inlineStr">
        <is>
          <t>虚拟机</t>
        </is>
      </c>
      <c r="F232" t="inlineStr">
        <is>
          <t>虚拟机开关机</t>
        </is>
      </c>
      <c r="G232" t="inlineStr">
        <is>
          <t>根据用户描述“虚拟机显示内部重启，排查原因”，这属于虚拟机生命周期中的异常状态变化。在HCI平台中，虚拟机非人为预期的重启通常由平台高可用机制触发或客户机内部系统崩溃导致。
请确认以下最可能的故障分类：
① 虚拟机-033 虚拟机异常HA
   判断依据：虚拟机出现非预期的“重启”现象，在超融合架构中首要怀疑是平台检测到故障（如宿主机异常、进程卡死）后触发了HA（高可用）重启机制，概率估计 ~60%
② 虚拟机-042 虚拟机内部蓝屏
   判断依据：描述中提及“内部重启”，亦可能指Guest OS内部发生致命错误（如Windows蓝屏、Linux Kernel Panic）导致系统自动重启，概率估计 ~30%
③ 以上都不是（请补充症状描述）
请回复 ① ② 或 ③ 完成确认。</t>
        </is>
      </c>
    </row>
    <row r="233">
      <c r="A233" t="inlineStr">
        <is>
          <t>Q2026040301255</t>
        </is>
      </c>
      <c r="B233" t="inlineStr">
        <is>
          <t>HCI</t>
        </is>
      </c>
      <c r="C233" t="inlineStr">
        <is>
          <t>6.11.1R1</t>
        </is>
      </c>
      <c r="D233" t="inlineStr">
        <is>
          <t>HCI SCP虚拟机  无法启动</t>
        </is>
      </c>
      <c r="E233" t="inlineStr">
        <is>
          <t>虚拟机</t>
        </is>
      </c>
      <c r="F233" t="inlineStr">
        <is>
          <t>虚拟机开关机</t>
        </is>
      </c>
      <c r="G233" t="inlineStr">
        <is>
          <t>根据您描述的“虚拟机无法启动”症状，问题初步归类如下，请确认：
① 虚拟机-003 虚拟机开机失败
   判断依据：客户描述“虚拟机 无法启动”，直接对应虚拟机生命周期管理中的开机失败场景，概率估计 ~95%
③ 以上都不是（请补充症状描述）
请回复 ① 或 ③ 完成确认。</t>
        </is>
      </c>
    </row>
    <row r="234">
      <c r="A234" t="inlineStr">
        <is>
          <t>Q2026040301200</t>
        </is>
      </c>
      <c r="B234" t="inlineStr">
        <is>
          <t>HCI</t>
        </is>
      </c>
      <c r="C234" t="inlineStr">
        <is>
          <t>HCI6.11.1_R1</t>
        </is>
      </c>
      <c r="D234" t="inlineStr">
        <is>
          <t>虚拟机开机进不去系统，需要协助处理，没有快照以及备份</t>
        </is>
      </c>
      <c r="E234" t="inlineStr">
        <is>
          <t>虚拟机</t>
        </is>
      </c>
      <c r="F234" t="inlineStr">
        <is>
          <t>虚拟机开关机</t>
        </is>
      </c>
      <c r="G234" t="inlineStr">
        <is>
          <t>根据用户描述“虚拟机开机进不去系统”，这通常指虚拟机电源已启动但操作系统未能正常加载（如黑屏、卡在引导界面），或者用户误将开机任务失败描述为“进不去系统”。
结合故障分类基准，为您推荐以下候选：
① **虚拟机-041 虚拟机内部黑屏**
   判断依据：用户明确提到“开机进不去系统”，通常意味着虚拟机处于运行状态但操作系统界面无法显示或无法引导，符合“黑屏”或“系统无法引导”的特征，概率估计 ~60%
② **虚拟机-003 虚拟机开机失败**
   判断依据：用户描述包含“开机”动作，若平台层面因资源不足、存储不可达或授权问题导致开机任务直接报错，用户也会描述为“进不去系统”，需排除平台级开机故障，概率估计 ~30%
③ 以上都不是（请补充症状描述）
请回复 ① ② 或 ③ 完成确认。</t>
        </is>
      </c>
    </row>
    <row r="235">
      <c r="A235" t="inlineStr">
        <is>
          <t>Q2026040300809</t>
        </is>
      </c>
      <c r="B235" t="inlineStr">
        <is>
          <t>HCI</t>
        </is>
      </c>
      <c r="C235" t="inlineStr">
        <is>
          <t>6.8.0_R1</t>
        </is>
      </c>
      <c r="D235" t="inlineStr">
        <is>
          <t>虚拟机window2008会自己不断重启，重启频率很高， OA应用服务器</t>
        </is>
      </c>
      <c r="E235" t="inlineStr">
        <is>
          <t>虚拟机</t>
        </is>
      </c>
      <c r="F235" t="inlineStr">
        <is>
          <t>虚拟机开关机</t>
        </is>
      </c>
      <c r="G235" t="inlineStr">
        <is>
          <t>根据您的描述“虚拟机window2008会自己不断重启，重启频率很高”，Windows系统在没有蓝屏提示的情况下自动重启，通常是系统内部遇到了致命错误（如蓝屏BSOD）但系统设置了“自动重新启动”。
结合故障分类基准，建议确认以下分类：
① 虚拟机-042 虚拟机内部蓝屏
   判断依据：Windows虚拟机频繁自动重启是典型的系统崩溃（BSOD）表现，系统默认设置崩溃后自动重启，导致用户看不到蓝屏界面。概率估计 ~85%
② 虚拟机-033 虚拟机异常HA
   判断依据：若虚拟机所在宿主机或平台层面存在异常，可能触发平台HA机制导致虚拟机被强制重启。概率估计 ~15%
③ 以上都不是（请补充症状描述）
请回复 ① ② 或 ③ 完成确认。</t>
        </is>
      </c>
    </row>
    <row r="236">
      <c r="A236" t="inlineStr">
        <is>
          <t>Q2026040300636</t>
        </is>
      </c>
      <c r="B236" t="inlineStr">
        <is>
          <t>HCI</t>
        </is>
      </c>
      <c r="C236" t="inlineStr">
        <is>
          <t>HCI6.8.0_R2</t>
        </is>
      </c>
      <c r="D236" t="inlineStr">
        <is>
          <t>一台server系统，客户在HCI平台手动重启，HCI平台记录的重启时间跟server系统日志记录的重启时间不一样，协助确认是否是当时虚拟机的时间跟平台时间不一致的原因</t>
        </is>
      </c>
      <c r="E236" t="inlineStr">
        <is>
          <t>虚拟机</t>
        </is>
      </c>
      <c r="F236" t="inlineStr">
        <is>
          <t>虚拟机开关机</t>
        </is>
      </c>
      <c r="G236" t="inlineStr">
        <is>
          <t>根据客户描述“平台记录的重启时间与Server系统日志记录的重启时间不一致”，核心故障现象为**时间不同步**。这通常涉及虚拟机内部时间服务配置或平台侧NTP同步问题。
您的问题可能属于以下故障之一，请确认：
① **虚拟机-043 虚拟机内部软件使用异常**
   判断依据：客户描述“server系统日志记录的重启时间不一样”，且仅涉及“一台server系统”，指向单个虚拟机内部的时间配置（如NTP服务、时区配置）或时间同步机制（如vmtools时间同步）运行异常，概率估计 ~70%
② **平台-024 集群与NTP服务器通信异常告警**
   判断依据：若平台自身NTP同步异常，会导致HCI平台记录的时间与标准时间存在偏差，从而导致平台记录的时间与虚拟机内部时间不一致，概率估计 ~25%
③ 以上都不是（请补充症状描述）
请回复 ① ② 或 ③ 完成确认。</t>
        </is>
      </c>
    </row>
    <row r="237">
      <c r="A237" t="inlineStr">
        <is>
          <t>Q2026040300327</t>
        </is>
      </c>
      <c r="B237" t="inlineStr">
        <is>
          <t>HCI</t>
        </is>
      </c>
      <c r="C237" t="inlineStr">
        <is>
          <t>6.11.1R1</t>
        </is>
      </c>
      <c r="D237" t="inlineStr">
        <is>
          <t>1、虚拟机启动异常
2、vxlan网络不通
3、协助打补丁</t>
        </is>
      </c>
      <c r="E237" t="inlineStr">
        <is>
          <t>虚拟机</t>
        </is>
      </c>
      <c r="F237" t="inlineStr">
        <is>
          <t>虚拟机开关机</t>
        </is>
      </c>
      <c r="G237" t="inlineStr">
        <is>
          <t>根据客户描述的多重故障现象，核心问题可能集中在业务可用性层面。分析如下：
**问题提取：**
- 虚拟机启动异常 → 业务直接受损，优先级高
- vxlan网络不通 → 可能导致虚拟机网络层面的启动依赖问题
- 协助打补丁 → 维护操作，可能与前两个问题相关联
**关联分析：**
虚拟机启动失败与vxlan网络不通存在潜在关联性（网络依赖），需用户确认主要故障方向。
---
根据客户描述的关键症状，您的问题可能属于以下故障之一，请确认：
① **虚拟机-003 虚拟机开机失败**
   判断依据：客户明确描述"虚拟机启动异常"，为最直接的业务受损症状，概率估计 ~55%
② **网络-007 主机vxlan网络丢包或不通**
   判断依据：客户明确描述"vxlan网络不通"，可能影响虚拟机网络挂载导致启动失败，概率估计 ~40%
③ 以上都不是（请补充症状描述）
请回复 ① ② 或 ③ 完成确认。</t>
        </is>
      </c>
    </row>
    <row r="238">
      <c r="A238" t="inlineStr">
        <is>
          <t>Q2026040300077</t>
        </is>
      </c>
      <c r="B238" t="inlineStr">
        <is>
          <t>HCI</t>
        </is>
      </c>
      <c r="C238" t="inlineStr">
        <is>
          <t>HCI6.11.1</t>
        </is>
      </c>
      <c r="D238">
        <f>===海外工单信息====
    海外工单ID：20260401860005
    事件等级：Priority3
    产品线：HCI::6.11.1
====客户信息====
    客户ID：20281
    客户MDM ID：68064ac0b2bafd7170b1637cf63453b7
    客户名称：Hospital Pengajar dan Pusat Kesihatan Prima UNIMAS【Malaysia】
    客户区域：Malaysia
    客户类型：
====工单信息====
设备部署模式：HCI 6.11.1 GPU 环境
客户背景： 马来西亚 - UNIMAS 大学
问题现象：虚拟机没能在指定之间段启用显卡开机
排查过程：
研发协助排查
重要备注：
是否已开群（企微）：是
企微群名：【马来/UNIMAS】- 虚拟机开机显示资源不足</f>
        <v/>
      </c>
      <c r="E238" t="inlineStr">
        <is>
          <t>虚拟机</t>
        </is>
      </c>
      <c r="F238" t="inlineStr">
        <is>
          <t>虚拟机开关机</t>
        </is>
      </c>
      <c r="G238" t="inlineStr">
        <is>
          <t>根据客户描述“虚拟机没能在指定之间段启用显卡开机”及企微群名“虚拟机开机显示资源不足”，问题核心表现为虚拟机开机操作失败，且报错指向资源（可能是显卡或计算资源）不足。这直接对应虚拟机生命周期管理中的启动故障。
由于报错信息明确指向“开机”动作及“资源不足”状态，分类指向性明确，置信度高。
根据【故障分类基准】，建议分类如下：
① 虚拟机-003 虚拟机开机失败
   判断依据：企微群名明确提示「虚拟机开机显示资源不足」，且客户描述问题现象为「虚拟机没能在指定之间段启用显卡开机」，直接对应虚拟机启动失败场景，概率估计 ~95%
③ 以上都不是（请补充症状描述）
请回复 ① 或 ③ 完成确认。</t>
        </is>
      </c>
    </row>
    <row r="239">
      <c r="A239" t="inlineStr">
        <is>
          <t>Q2026040202016</t>
        </is>
      </c>
      <c r="B239" t="inlineStr">
        <is>
          <t>HCI</t>
        </is>
      </c>
      <c r="C239" t="inlineStr"/>
      <c r="D239" t="inlineStr">
        <is>
          <t xml:space="preserve">无法开启3D虚拟机，报错0x00000000000D2F19 </t>
        </is>
      </c>
      <c r="E239" t="inlineStr">
        <is>
          <t>虚拟机</t>
        </is>
      </c>
      <c r="F239" t="inlineStr">
        <is>
          <t>虚拟机开关机</t>
        </is>
      </c>
      <c r="G239" t="inlineStr">
        <is>
          <t>根据您的描述“无法开启3D虚拟机，报错0x00000000000D2F19”，故障现象明确指向虚拟机生命周期管理中的启动操作异常。
**全量分析：**
1.  **关键实体与动作**：对象为“3D虚拟机”，动作为“开启”，结果为“失败”。
2.  **错误模式**：报错代码 `0x00000000000D2F19` 通常是平台底层返回的任务失败标识。虽然涉及“3D”特性，但核心故障表现为虚拟机无法完成开机流程。
3.  **分类定位**：在故障分类基准中，**虚拟机-003 虚拟机开机失败** 是最直接匹配“无法开启”现象的分类。该分类涵盖了因资源不足、存储异常、显卡资源挂载失败等所有原因导致的启动任务失败。
请您确认以下故障分类：
① 虚拟机-003 虚拟机开机失败
   判断依据：用户明确描述“无法开启”虚拟机，且伴随具体错误代码，属于典型的虚拟机启动任务失败范畴，概率估计 ~95%
② 硬件-L2-显卡 显卡
   判断依据：虚拟机类型为“3D虚拟机”，开机失败可能与物理显卡资源分配、显卡直通配置异常有关，概率估计 ~5%
③ 以上都不是（请补充症状描述）
请回复 ① ② 或 ③ 完成确认。</t>
        </is>
      </c>
    </row>
    <row r="240">
      <c r="A240" t="inlineStr">
        <is>
          <t>Q2026040201862</t>
        </is>
      </c>
      <c r="B240" t="inlineStr">
        <is>
          <t>HCI</t>
        </is>
      </c>
      <c r="C240" t="inlineStr">
        <is>
          <t>6.11.1</t>
        </is>
      </c>
      <c r="D240" t="inlineStr">
        <is>
          <t>多台虚拟机内部关机查原因</t>
        </is>
      </c>
      <c r="E240" t="inlineStr">
        <is>
          <t>虚拟机</t>
        </is>
      </c>
      <c r="F240" t="inlineStr">
        <is>
          <t>虚拟机开关机</t>
        </is>
      </c>
      <c r="G240" t="inlineStr"/>
    </row>
    <row r="241">
      <c r="A241" t="inlineStr">
        <is>
          <t>Q2026040201809</t>
        </is>
      </c>
      <c r="B241" t="inlineStr">
        <is>
          <t>HCI</t>
        </is>
      </c>
      <c r="C241" t="inlineStr"/>
      <c r="D241" t="inlineStr">
        <is>
          <t>虚拟机关机失败</t>
        </is>
      </c>
      <c r="E241" t="inlineStr">
        <is>
          <t>虚拟机</t>
        </is>
      </c>
      <c r="F241" t="inlineStr">
        <is>
          <t>虚拟机开关机</t>
        </is>
      </c>
      <c r="G241" t="inlineStr">
        <is>
          <t>根据客户描述中明确提及的“虚拟机关机失败”关键词，与故障分类基准直接匹配，您的问题可能属于以下故障，请确认：
① 虚拟机-004 虚拟机关机失败
   判断依据：客户描述为“虚拟机关机失败”，与分类名称完全一致，概率估计 ~99%
③ 以上都不是（请补充症状描述）
请回复 ① 或 ③ 完成确认。</t>
        </is>
      </c>
    </row>
    <row r="242">
      <c r="A242" t="inlineStr">
        <is>
          <t>Q2026040201576</t>
        </is>
      </c>
      <c r="B242" t="inlineStr">
        <is>
          <t>HCI</t>
        </is>
      </c>
      <c r="C242" t="inlineStr"/>
      <c r="D242" t="inlineStr">
        <is>
          <t xml:space="preserve">HCI ，Centos 7虚拟机，无法ping通，重启以后 设备控制台只显示横线 无法正常开机 </t>
        </is>
      </c>
      <c r="E242" t="inlineStr">
        <is>
          <t>虚拟机</t>
        </is>
      </c>
      <c r="F242" t="inlineStr">
        <is>
          <t>虚拟机开关机</t>
        </is>
      </c>
      <c r="G242" t="inlineStr">
        <is>
          <t>根据客户描述“重启以后...无法正常开机”及“控制台只显示横线”，这直接指向虚拟机启动流程受阻。问题可能属于以下故障之一，请确认：
① 虚拟机-003 虚拟机开机失败
   判断依据：客户明确描述“无法正常开机”，且控制台显示异常（只显示横线），符合虚拟机开机失败的经典表现，概率估计 ~90%
③ 以上都不是（请补充症状描述）
请回复 ① 或 ③ 完成确认。</t>
        </is>
      </c>
    </row>
    <row r="243">
      <c r="A243" t="inlineStr">
        <is>
          <t>Q2026040201299</t>
        </is>
      </c>
      <c r="B243" t="inlineStr">
        <is>
          <t>HCI</t>
        </is>
      </c>
      <c r="C243" t="inlineStr">
        <is>
          <t>6.11.1</t>
        </is>
      </c>
      <c r="D243" t="inlineStr">
        <is>
          <t>新装的一台windows server 2012 并且安装了oracle 11.2.0.4，现在发现只要系统重新启动，就得等好长时间才能就绪</t>
        </is>
      </c>
      <c r="E243" t="inlineStr">
        <is>
          <t>虚拟机</t>
        </is>
      </c>
      <c r="F243" t="inlineStr">
        <is>
          <t>虚拟机开关机</t>
        </is>
      </c>
      <c r="G243" t="inlineStr">
        <is>
          <t>根据您的描述，故障现象集中在虚拟机重启后的就绪时长异常（启动慢），且明确涉及内部业务软件（Oracle），以下是可能的故障分类：
① 虚拟机-036 虚拟机整体卡慢
   判断依据：客户描述“系统重新启动，就得等好长时间才能就绪”，这是典型的系统启动慢或整体响应慢现象，概率估计 ~60%
② 虚拟机-037 虚拟机内部业务卡慢
   判断依据：客户明确提及安装了 Oracle 11.2.0.4，Oracle 服务随系统启动时往往占用大量资源导致系统长时间处于“请等待”或服务启动阶段，属于业务层导致的卡慢，概率估计 ~35%
③ 以上都不是（请补充症状描述）
请回复 ① ② 或 ③ 完成确认。</t>
        </is>
      </c>
    </row>
    <row r="244">
      <c r="A244" t="inlineStr">
        <is>
          <t>Q2026040201287</t>
        </is>
      </c>
      <c r="B244" t="inlineStr">
        <is>
          <t>HCI</t>
        </is>
      </c>
      <c r="C244" t="inlineStr">
        <is>
          <t>6.11.1</t>
        </is>
      </c>
      <c r="D244" t="inlineStr">
        <is>
          <t>gpu虚拟机重启起不来</t>
        </is>
      </c>
      <c r="E244" t="inlineStr">
        <is>
          <t>虚拟机</t>
        </is>
      </c>
      <c r="F244" t="inlineStr">
        <is>
          <t>虚拟机开关机</t>
        </is>
      </c>
      <c r="G244" t="inlineStr">
        <is>
          <t>根据您提供的故障现象“gpu虚拟机重启起不来”，这直接指向虚拟机的生命周期操作问题。
根据 [用户明确描述“虚拟机重启”动作且结果为“起不来”] ，您的问题可能属于以下故障之一，请确认：
① 虚拟机-005 虚拟机重启失败
   判断依据：用户描述明确包含“重启”动作及“起不来”的结果，精准匹配该分类定义，概率估计 ~95%
② 以上都不是（请补充症状描述）
请回复 ① 或 ② 完成确认。</t>
        </is>
      </c>
    </row>
    <row r="245">
      <c r="A245" t="inlineStr">
        <is>
          <t>Q2026040200900</t>
        </is>
      </c>
      <c r="B245" t="inlineStr">
        <is>
          <t>HCI</t>
        </is>
      </c>
      <c r="C245" t="inlineStr">
        <is>
          <t>HCI6.11.1_R1</t>
        </is>
      </c>
      <c r="D245" t="inlineStr">
        <is>
          <t>反馈数据库虚拟机内部自动关闭虚拟机</t>
        </is>
      </c>
      <c r="E245" t="inlineStr">
        <is>
          <t>虚拟机</t>
        </is>
      </c>
      <c r="F245" t="inlineStr">
        <is>
          <t>虚拟机开关机</t>
        </is>
      </c>
      <c r="G245" t="inlineStr">
        <is>
          <t>根据客户描述“数据库虚拟机内部自动关闭”，关键词为“虚拟机内部”和“自动关闭”。这通常指虚拟机Guest OS内部发起了关机指令，而非平台强制断电，故障根因多指向虚拟机内部业务软件（数据库）或操作系统层面的配置/异常。
结合故障分类基准，最可能的分类如下：
① **虚拟机-043 虚拟机内部软件使用异常**
   判断依据：客户明确指出为“数据库虚拟机”且是“内部自动关闭”，高度怀疑是数据库软件自身逻辑（如脚本错误、维护计划）或异常触发了系统关机，概率估计 ~60%
② **虚拟机-044 虚拟机内部空间或文件系统异常**
   判断依据：数据库业务常伴随大量数据写入，若系统盘或数据盘空间满、文件系统错误，可能导致操作系统异常并自动关机保护，概率估计 ~30%
③ 以上都不是（请补充症状描述）
请回复 ① ② 或 ③ 完成确认。</t>
        </is>
      </c>
    </row>
    <row r="246">
      <c r="A246" t="inlineStr">
        <is>
          <t>Q2026040200352</t>
        </is>
      </c>
      <c r="B246" t="inlineStr">
        <is>
          <t>HCI</t>
        </is>
      </c>
      <c r="C246" t="inlineStr">
        <is>
          <t>HCI6.11.1_R1</t>
        </is>
      </c>
      <c r="D246" t="inlineStr">
        <is>
          <t>创建虚拟机开机失败</t>
        </is>
      </c>
      <c r="E246" t="inlineStr">
        <is>
          <t>虚拟机</t>
        </is>
      </c>
      <c r="F246" t="inlineStr">
        <is>
          <t>虚拟机开关机</t>
        </is>
      </c>
      <c r="G246" t="inlineStr">
        <is>
          <t>根据 [用户描述明确提及“开机失败”且上下文为“创建虚拟机”]，您的问题可能属于以下故障之一，请确认：
① 虚拟机-003 虚拟机开机失败
   判断依据：描述中明确指出“开机失败”，通常意味着虚拟机实例已创建但在启动阶段异常，概率估计 ~70%
② 虚拟机-001 虚拟机创建失败
   判断依据：描述前缀为“创建虚拟机”，若创建流程中因资源不足或模板异常导致任务中断，也可能被描述为此，概率估计 ~25%
③ 以上都不是（请补充症状描述）
请回复 ① ② 或 ③ 完成确认。</t>
        </is>
      </c>
    </row>
    <row r="247">
      <c r="A247" t="inlineStr">
        <is>
          <t>Q2026040101751</t>
        </is>
      </c>
      <c r="B247" t="inlineStr">
        <is>
          <t>HCI</t>
        </is>
      </c>
      <c r="C247" t="inlineStr">
        <is>
          <t>6.11.1</t>
        </is>
      </c>
      <c r="D247" t="inlineStr">
        <is>
          <t>超融合X86集群的虚拟机迁移到海光集群 现在虚拟机启动报错</t>
        </is>
      </c>
      <c r="E247" t="inlineStr">
        <is>
          <t>虚拟机</t>
        </is>
      </c>
      <c r="F247" t="inlineStr">
        <is>
          <t>虚拟机开关机</t>
        </is>
      </c>
      <c r="G247" t="inlineStr">
        <is>
          <t>根据您的描述，问题发生在跨集群（X86 到海光平台）迁移后，症状为虚拟机启动报错。这通常涉及 CPU 兼容性或虚拟机配置适配问题，直接对应虚拟机开机失败场景。
根据 [迁移后启动报错]，您的问题可能属于以下故障之一，请确认：
① 虚拟机-003 虚拟机开机失败
   判断依据：客户明确描述“虚拟机启动报错”，且发生在跨平台迁移后，属于典型的开机失败场景，概率估计 ~90%
② 以上都不是（请补充症状描述）
请回复 ① 或 ② 完成确认。</t>
        </is>
      </c>
    </row>
    <row r="248">
      <c r="A248" t="inlineStr">
        <is>
          <t>Q2026040101726</t>
        </is>
      </c>
      <c r="B248" t="inlineStr">
        <is>
          <t>HCI</t>
        </is>
      </c>
      <c r="C248" t="inlineStr">
        <is>
          <t>HCI6.11.1</t>
        </is>
      </c>
      <c r="D248" t="inlineStr">
        <is>
          <t xml:space="preserve">外置存储掉线  虚拟机都关机了 </t>
        </is>
      </c>
      <c r="E248" t="inlineStr">
        <is>
          <t>虚拟机</t>
        </is>
      </c>
      <c r="F248" t="inlineStr">
        <is>
          <t>虚拟机开关机</t>
        </is>
      </c>
      <c r="G248" t="inlineStr">
        <is>
          <t>根据客户描述“外置存储掉线”导致“虚拟机关机”，这是典型的存储链路中断导致业务中断的故障。由于未明确外置存储的具体协议类型（FC光纤通道或iSCSI IP网络），但均符合“存储状态离线”的特征，存在两个主要候选分类：
① 存储-031 ISCSI存储状态离线
   判断依据：客户提及“外置存储掉线”，iSCSI存储是HCI平台最常见的外置存储类型之一，掉线后虚拟机因无法访问磁盘而关机，概率估计 ~50%
② 存储-023 FC存储状态离线
   判断依据：FC光纤存储也是常见外置存储类型，若光纤链路或交换机故障会导致存储掉线，进而导致虚拟机关机，概率估计 ~40%
③ 以上都不是（请补充症状描述）
请回复 ① ② 或 ③ 完成确认。</t>
        </is>
      </c>
    </row>
    <row r="249">
      <c r="A249" t="inlineStr">
        <is>
          <t>Q2026040101708</t>
        </is>
      </c>
      <c r="B249" t="inlineStr">
        <is>
          <t>HCI</t>
        </is>
      </c>
      <c r="C249" t="inlineStr">
        <is>
          <t>6.10.0R2</t>
        </is>
      </c>
      <c r="D249" t="inlineStr">
        <is>
          <t>vm虚拟机迁移到hci后一直重启</t>
        </is>
      </c>
      <c r="E249" t="inlineStr">
        <is>
          <t>虚拟机</t>
        </is>
      </c>
      <c r="F249" t="inlineStr">
        <is>
          <t>虚拟机开关机</t>
        </is>
      </c>
      <c r="G249" t="inlineStr">
        <is>
          <t>根据客户描述“vm虚拟机迁移到hci后一直重启”，重点在于“迁移后”和“一直重启”。这通常是由于操作系统因驱动不兼容导致崩溃（如蓝屏）后的自动重启，或者是平台高可用（HA）机制被反复触发。
根据症状分析，您的问题可能属于以下故障之一，请确认：
① **虚拟机-042 虚拟机内部蓝屏**
   判断依据：迁移后（特别是跨平台迁移）常因磁盘控制器驱动（如LSI Logic转为VirtIO）或网卡驱动不兼容导致系统崩溃，Windows默认设置下蓝屏后会自动重启，形成循环。概率估计 ~70%
② **虚拟机-033 虚拟机异常HA**
   判断依据：如果虚拟机没有蓝屏而是直接消失重启，可能是平台监测到虚拟机进程异常退出或宿主机状态异常，触发了HA（高可用）机制反复拉起虚拟机。概率估计 ~20%
③ 以上都不是（请补充症状描述）
请回复 ① ② 或 ③ 完成确认。</t>
        </is>
      </c>
    </row>
    <row r="250">
      <c r="A250" t="inlineStr">
        <is>
          <t>Q2026040100825</t>
        </is>
      </c>
      <c r="B250" t="inlineStr">
        <is>
          <t>HCI</t>
        </is>
      </c>
      <c r="C250" t="inlineStr"/>
      <c r="D250" t="inlineStr">
        <is>
          <t xml:space="preserve">6.11R1 版本  虚拟机不能开机 ，已经部署业务软件了，不是新安装 </t>
        </is>
      </c>
      <c r="E250" t="inlineStr">
        <is>
          <t>虚拟机</t>
        </is>
      </c>
      <c r="F250" t="inlineStr">
        <is>
          <t>虚拟机开关机</t>
        </is>
      </c>
      <c r="G250" t="inlineStr">
        <is>
          <t>根据您的描述“虚拟机不能开机”，该问题最符合以下故障分类：
① 虚拟机-003 虚拟机开机失败
   判断依据：用户明确描述“虚拟机不能开机”，且强调已部署业务（非新建虚拟机失败），直接对应虚拟机生命周期管理中的启动操作故障，概率估计 ~95%
③ 以上都不是（请补充症状描述）
请回复 ① 或 ③ 完成确认。</t>
        </is>
      </c>
    </row>
    <row r="251">
      <c r="A251" t="inlineStr">
        <is>
          <t>Q2026033102060</t>
        </is>
      </c>
      <c r="B251" t="inlineStr">
        <is>
          <t>HCI</t>
        </is>
      </c>
      <c r="C251" t="inlineStr">
        <is>
          <t>HCI6.3.0</t>
        </is>
      </c>
      <c r="D251" t="inlineStr">
        <is>
          <t>单台虚拟机宕机，无法关闭电源，无法重启</t>
        </is>
      </c>
      <c r="E251" t="inlineStr">
        <is>
          <t>虚拟机</t>
        </is>
      </c>
      <c r="F251" t="inlineStr">
        <is>
          <t>虚拟机开关机</t>
        </is>
      </c>
      <c r="G251" t="inlineStr">
        <is>
          <t>根据客户描述“单台虚拟机宕机，无法关闭电源，无法重启”，分析如下：虚拟机处于“宕机”状态，且对电源操作（关机、重启）无响应，这通常意味着虚拟机进程卡死或处于异常挂起状态。虽然“无法关机”和“无法重启”是操作失败的表现，但其根本原因通常指向虚拟机内部状态异常（卡死）。
您的问题可能属于以下故障之一，请确认：
① 虚拟机-039 虚拟机卡死无响应
   判断依据：客户描述虚拟机“宕机”，且伴随“无法关闭电源、无法重启”的操作受阻现象，符合虚拟机进程卡死或无响应的典型特征。概率估计 ~70%
② 虚拟机-004 虚拟机关机失败
   判断依据：客户明确描述了“无法关闭电源”的具体操作失败现象。概率估计 ~30%
③ 以上都不是（请补充症状描述）
请回复 ① ② 或 ③ 完成确认。</t>
        </is>
      </c>
    </row>
    <row r="252">
      <c r="A252" t="inlineStr">
        <is>
          <t>Q2026033102030</t>
        </is>
      </c>
      <c r="B252" t="inlineStr">
        <is>
          <t>HCI</t>
        </is>
      </c>
      <c r="C252" t="inlineStr"/>
      <c r="D252" t="inlineStr">
        <is>
          <t>平台显示虚拟机异常关机协助排查原因</t>
        </is>
      </c>
      <c r="E252" t="inlineStr">
        <is>
          <t>虚拟机</t>
        </is>
      </c>
      <c r="F252" t="inlineStr">
        <is>
          <t>虚拟机开关机</t>
        </is>
      </c>
      <c r="G252" t="inlineStr"/>
    </row>
    <row r="253">
      <c r="A253" t="inlineStr">
        <is>
          <t>Q2026033101574</t>
        </is>
      </c>
      <c r="B253" t="inlineStr">
        <is>
          <t>HCI</t>
        </is>
      </c>
      <c r="C253" t="inlineStr">
        <is>
          <t>HCI5.8.6</t>
        </is>
      </c>
      <c r="D253" t="inlineStr">
        <is>
          <t>虚拟机一直卡在正在启动</t>
        </is>
      </c>
      <c r="E253" t="inlineStr">
        <is>
          <t>虚拟机</t>
        </is>
      </c>
      <c r="F253" t="inlineStr">
        <is>
          <t>虚拟机开关机</t>
        </is>
      </c>
      <c r="G253" t="inlineStr">
        <is>
          <t>根据用户描述“虚拟机一直卡在正在启动”，该症状直接对应虚拟机生命周期管理中的启动流程异常，状态未变更为“运行中”通常属于开机失败或超时范畴。
您的问题可能属于以下故障之一，请确认：
① **虚拟机-003 虚拟机开机失败**
   判断依据：虚拟机状态长时间处于“正在启动”无进展，通常意味着启动链路（资源调度/存储挂载/创建实例）阻塞或超时，归入开机失败类别，概率估计 ~95%
② **虚拟机-039 虚拟机卡死无响应**
   判断依据：若虚拟机进程已创建但内部系统卡死，有时在平台侧也可能显示为启动中或运行中无响应，概率估计 ~5%
③ 以上都不是（请补充症状描述）
请回复 ① ② 或 ③ 完成确认。</t>
        </is>
      </c>
    </row>
    <row r="254">
      <c r="A254" t="inlineStr">
        <is>
          <t>Q2026033100777</t>
        </is>
      </c>
      <c r="B254" t="inlineStr">
        <is>
          <t>HCI</t>
        </is>
      </c>
      <c r="C254" t="inlineStr">
        <is>
          <t>5.3R1</t>
        </is>
      </c>
      <c r="D254" t="inlineStr">
        <is>
          <t>erp虚拟机无法开机</t>
        </is>
      </c>
      <c r="E254" t="inlineStr">
        <is>
          <t>虚拟机</t>
        </is>
      </c>
      <c r="F254" t="inlineStr">
        <is>
          <t>虚拟机开关机</t>
        </is>
      </c>
      <c r="G254" t="inlineStr">
        <is>
          <t>根据用户描述“erp虚拟机无法开机”，该问题直接指向虚拟机生命周期管理中的启动环节，您的问题可能属于以下故障之一，请确认：
① 虚拟机-003 虚拟机开机失败
   判断依据：用户明确描述虚拟机存在“无法开机”的故障现象，直接对应虚拟机域的基础生命周期故障，概率估计 ~95%
③ 以上都不是（请补充症状描述）
请回复 ① 或 ③ 完成确认。</t>
        </is>
      </c>
    </row>
    <row r="255">
      <c r="A255" t="inlineStr">
        <is>
          <t>Q2026033100611</t>
        </is>
      </c>
      <c r="B255" t="inlineStr">
        <is>
          <t>HCI</t>
        </is>
      </c>
      <c r="C255" t="inlineStr">
        <is>
          <t>6.11.1</t>
        </is>
      </c>
      <c r="D255" t="inlineStr">
        <is>
          <t>【紧急报障】：客户通过数字化服务平台发起的紧急报障，请尽快联系处理！&amp;lt;br&amp;gt;【工单描述】：HCI，十几台虚拟机做了备份，到了备份时间点的时候，虚拟机内存占用非常高，导致虚拟机重启影响客户重要业务，目前已经恢复了，需要查原因，客户反馈不止一次出现</t>
        </is>
      </c>
      <c r="E255" t="inlineStr">
        <is>
          <t>虚拟机</t>
        </is>
      </c>
      <c r="F255" t="inlineStr">
        <is>
          <t>虚拟机开关机</t>
        </is>
      </c>
      <c r="G255" t="inlineStr">
        <is>
          <t>根据故障现象描述，故障发生在备份时间点，伴随内存占用高并导致虚拟机重启，问题核心指向备份操作引发的虚拟机稳定性问题。
您的问题可能属于以下故障之一，请确认：
① 虚拟机-027 虚拟机备份创建失败
   判断依据：故障发生在“备份时间点”，备份过程引发虚拟机资源（内存）严重占用，导致虚拟机重启，符合备份任务异常（如快照创建卡顿、备份代理资源占用过高）引发的连锁反应，概率估计 ~60%
② 虚拟机-033 虚拟机异常HA
   判断依据：虚拟机在业务运行期间发生了非预期的“重启”，符合异常重启/HA的定义，可能因备份占用过多宿主机资源导致虚拟机进程被杀或崩溃重启，概率估计 ~35%
③ 以上都不是（请补充症状描述）
请回复 ① ② 或 ③ 完成确认。</t>
        </is>
      </c>
    </row>
    <row r="256">
      <c r="A256" t="inlineStr">
        <is>
          <t>Q2026033100520</t>
        </is>
      </c>
      <c r="B256" t="inlineStr">
        <is>
          <t>HCI</t>
        </is>
      </c>
      <c r="C256" t="inlineStr">
        <is>
          <t>6.10.0_R2</t>
        </is>
      </c>
      <c r="D256" t="inlineStr">
        <is>
          <t>win sever2003宕机查原因</t>
        </is>
      </c>
      <c r="E256" t="inlineStr">
        <is>
          <t>虚拟机</t>
        </is>
      </c>
      <c r="F256" t="inlineStr">
        <is>
          <t>虚拟机开关机</t>
        </is>
      </c>
      <c r="G256" t="inlineStr">
        <is>
          <t>根据您提供的描述“win sever2003宕机”，这通常指代 Windows 系统崩溃或无响应，问题可能属于以下故障之一，请确认：
① 虚拟机-042 虚拟机内部蓝屏
   判断依据：Windows Server 2003 宕机最常见表现为系统崩溃蓝屏（BSOD），概率估计 ~60%
② 虚拟机-039 虚拟机卡死无响应
   判断依据：若虚拟机进程卡死或系统内部假死，表现为无法连接且控制台无反应，概率估计 ~30%
③ 以上都不是（请补充症状描述）
请回复 ① ② 或 ③ 完成确认。</t>
        </is>
      </c>
    </row>
    <row r="257">
      <c r="A257" t="inlineStr">
        <is>
          <t>Q2026033100092</t>
        </is>
      </c>
      <c r="B257" t="inlineStr">
        <is>
          <t>HCI</t>
        </is>
      </c>
      <c r="C257" t="inlineStr">
        <is>
          <t>6.10.0_R2</t>
        </is>
      </c>
      <c r="D257" t="inlineStr">
        <is>
          <t>授权过期 虚拟机无法开机 需要协助先后台处理下</t>
        </is>
      </c>
      <c r="E257" t="inlineStr">
        <is>
          <t>虚拟机</t>
        </is>
      </c>
      <c r="F257" t="inlineStr">
        <is>
          <t>虚拟机开关机</t>
        </is>
      </c>
      <c r="G257" t="inlineStr">
        <is>
          <t>根据您提供的“授权过期”导致“虚拟机无法开机”的描述，结合 HCI 开机失败机制中关于“序列号/授权问题”的判定方向，问题可能属于以下故障分类，请确认：
① 虚拟机-003 虚拟机开机失败
   判断依据：用户描述“虚拟机无法开机”，且知识库指出开机失败四大方向包含“序列号/授权问题”，概率估计 ~60%
② 平台-025 序列号过期告警
   判断依据：用户明确描述“授权过期”，直接对应平台层面的序列号/授权状态异常告警，概率估计 ~40%
③ 以上都不是（请补充症状描述）
请回复 ① ② 或 ③ 完成确认。</t>
        </is>
      </c>
    </row>
    <row r="258">
      <c r="A258" t="inlineStr">
        <is>
          <t>Q2026033100078</t>
        </is>
      </c>
      <c r="B258" t="inlineStr">
        <is>
          <t>HCI</t>
        </is>
      </c>
      <c r="C258" t="inlineStr">
        <is>
          <t>HCI6.7.0_R2</t>
        </is>
      </c>
      <c r="D258" t="inlineStr">
        <is>
          <t>HCI虚拟机，重启了一下电源，虚拟机无法开机，镜像正忙，核心业务受影响</t>
        </is>
      </c>
      <c r="E258" t="inlineStr">
        <is>
          <t>虚拟机</t>
        </is>
      </c>
      <c r="F258" t="inlineStr">
        <is>
          <t>虚拟机开关机</t>
        </is>
      </c>
      <c r="G258" t="inlineStr">
        <is>
          <t>根据您提供的关键信息“虚拟机无法开机”以及具体的报错提示“镜像正忙”，故障场景非常明确，判断如下：
① 虚拟机-003 虚拟机开机失败
   判断依据：用户明确描述“虚拟机无法开机”，且伴随“镜像正忙”报错（通常指磁盘镜像文件被锁定或正在被其他进程调用），直接对应虚拟机启动流程故障，概率估计 ~95%
② 虚拟机-039 虚拟机卡死无响应
   判断依据：“镜像正忙”有时是因为虚拟机进程僵死导致资源未释放，表现为开机无响应或状态异常，概率估计 ~5%
③ 以上都不是（请补充症状描述）
请回复 ① ② 或 ③ 完成确认。</t>
        </is>
      </c>
    </row>
    <row r="259">
      <c r="A259" t="inlineStr">
        <is>
          <t>Q2026033000934</t>
        </is>
      </c>
      <c r="B259" t="inlineStr">
        <is>
          <t>HCI</t>
        </is>
      </c>
      <c r="C259" t="inlineStr">
        <is>
          <t>6.0.0_R5</t>
        </is>
      </c>
      <c r="D259" t="inlineStr">
        <is>
          <t>3台虚拟机自动关机 报错提示io错误导致故障</t>
        </is>
      </c>
      <c r="E259" t="inlineStr">
        <is>
          <t>虚拟机</t>
        </is>
      </c>
      <c r="F259" t="inlineStr">
        <is>
          <t>虚拟机开关机</t>
        </is>
      </c>
      <c r="G259" t="inlineStr">
        <is>
          <t>根据您的描述“3台虚拟机自动关机，报错提示IO错误导致故障”，这通常指向虚拟机磁盘所在的存储底层出现了问题，导致虚拟机进程因无法读写数据而异常关闭。
请确认以下最可能的故障分类：
① 存储-019 虚拟存储状态异常（离线、服务异常、服务未启动等）
   判断依据：报错提示“IO错误”，通常意味着虚拟存储卷不可访问、服务异常或连接中断，直接导致虚拟机因读写失败而自动关机，概率估计 ~70%
② 存储-020 虚拟存储性能告警（io繁忙告警、io时延过高）
   判断依据：若存储极端繁忙或出现严重IO阻塞（卡慢），也可能导致虚拟机内部IO超时报错并触发保护性关机，概率估计 ~25%
③ 以上都不是（请补充症状描述）
请回复 ① ② 或 ③ 完成确认。</t>
        </is>
      </c>
    </row>
    <row r="260">
      <c r="A260" t="inlineStr">
        <is>
          <t>Q2026033000845</t>
        </is>
      </c>
      <c r="B260" t="inlineStr">
        <is>
          <t>HCI</t>
        </is>
      </c>
      <c r="C260" t="inlineStr">
        <is>
          <t>HCI6.10.0_R2</t>
        </is>
      </c>
      <c r="D260" t="inlineStr">
        <is>
          <t>一台虚拟机重启卡住</t>
        </is>
      </c>
      <c r="E260" t="inlineStr">
        <is>
          <t>虚拟机</t>
        </is>
      </c>
      <c r="F260" t="inlineStr">
        <is>
          <t>虚拟机开关机</t>
        </is>
      </c>
      <c r="G260" t="inlineStr">
        <is>
          <t>根据您提供的描述“一台虚拟机重启卡住”，问题定位如下：
① 虚拟机-005 虚拟机重启失败
   判断依据：客户明确描述虚拟机在执行“重启”操作时出现“卡住”现象，符合重启任务执行受阻或超时的特征，概率估计 ~95%
③ 以上都不是（请补充症状描述）
请回复 ① 或 ③ 完成确认。</t>
        </is>
      </c>
    </row>
    <row r="261">
      <c r="A261" t="inlineStr">
        <is>
          <t>Q2026033000624</t>
        </is>
      </c>
      <c r="B261" t="inlineStr">
        <is>
          <t>HCI</t>
        </is>
      </c>
      <c r="C261" t="inlineStr">
        <is>
          <t>6.10.0_R2</t>
        </is>
      </c>
      <c r="D261" t="inlineStr">
        <is>
          <t>有个虚拟机关机后无法开机了，协助处理，反馈有业务影响，非核心业务</t>
        </is>
      </c>
      <c r="E261" t="inlineStr">
        <is>
          <t>虚拟机</t>
        </is>
      </c>
      <c r="F261" t="inlineStr">
        <is>
          <t>虚拟机开关机</t>
        </is>
      </c>
      <c r="G261" t="inlineStr">
        <is>
          <t>根据用户描述的虚拟机“关机后无法开机”这一明确故障现象，定位如下：
① 虚拟机-003 虚拟机开机失败
   判断依据：用户明确描述虚拟机在关机操作后，无法执行开机动作，直接对应虚拟机生命周期管理中的“开机失败”场景。概率估计 ~95%
③ 以上都不是（请补充症状描述）
请回复 ① 或 ③ 完成确认。</t>
        </is>
      </c>
    </row>
    <row r="262">
      <c r="A262" t="inlineStr">
        <is>
          <t>Q2026033000555</t>
        </is>
      </c>
      <c r="B262" t="inlineStr">
        <is>
          <t>HCI</t>
        </is>
      </c>
      <c r="C262" t="inlineStr">
        <is>
          <t>6.10.0_R2</t>
        </is>
      </c>
      <c r="D262" t="inlineStr">
        <is>
          <t>HCI，虚拟机，挂载硬盘 重启的时候，现在需要临时开机 ，需要取消这个挂载任务，需要优先处理，业务比较重要</t>
        </is>
      </c>
      <c r="E262" t="inlineStr">
        <is>
          <t>虚拟机</t>
        </is>
      </c>
      <c r="F262" t="inlineStr">
        <is>
          <t>虚拟机开关机</t>
        </is>
      </c>
      <c r="G262" t="inlineStr">
        <is>
          <t>根据您提供的故障现象“虚拟机在挂载硬盘重启过程中卡住，无法开机且需取消任务”，综合分析如下：
① 虚拟机-005 虚拟机重启失败
   判断依据：用户明确描述故障发生在“挂载硬盘 重启的时候”，虚拟机处于重启过程中未完成，符合重启失败/卡住的故障特征，概率估计 ~60%
② 虚拟机-003 虚拟机开机失败
   判断依据：用户当前紧急诉求为“需要临时开机”，且因前序任务卡住导致无法执行开机操作，符合开机失败的故障场景，概率估计 ~35%
③ 以上都不是（请补充症状描述）
请回复 ① ② 或 ③ 完成确认。</t>
        </is>
      </c>
    </row>
    <row r="263">
      <c r="A263" t="inlineStr">
        <is>
          <t>Q2026033000478</t>
        </is>
      </c>
      <c r="B263" t="inlineStr">
        <is>
          <t>HCI</t>
        </is>
      </c>
      <c r="C263" t="inlineStr"/>
      <c r="D263" t="inlineStr">
        <is>
          <t>HCI ，3个虚拟机启不起来，重启也不行，生产业务受影响</t>
        </is>
      </c>
      <c r="E263" t="inlineStr">
        <is>
          <t>虚拟机</t>
        </is>
      </c>
      <c r="F263" t="inlineStr">
        <is>
          <t>虚拟机开关机</t>
        </is>
      </c>
      <c r="G263" t="inlineStr">
        <is>
          <t>根据用户描述“3个虚拟机启不起来，重启也不行”，直接指向虚拟机生命周期管理中的启动操作故障，您的问题可能属于以下故障之一，请确认：
① 虚拟机-003 虚拟机开机失败
   判断依据：用户明确描述“虚拟机启不起来”，精准对应开机失败场景，概率估计 ~95%
③ 以上都不是（请补充症状描述）
请回复 ① 或 ③ 完成确认。</t>
        </is>
      </c>
    </row>
    <row r="264">
      <c r="A264" t="inlineStr">
        <is>
          <t>Q2026033000445</t>
        </is>
      </c>
      <c r="B264" t="inlineStr">
        <is>
          <t>HCI</t>
        </is>
      </c>
      <c r="C264" t="inlineStr">
        <is>
          <t>6.10.0_R2</t>
        </is>
      </c>
      <c r="D264" t="inlineStr">
        <is>
          <t>虚拟机无法启动提示无法完成更新</t>
        </is>
      </c>
      <c r="E264" t="inlineStr">
        <is>
          <t>虚拟机</t>
        </is>
      </c>
      <c r="F264" t="inlineStr">
        <is>
          <t>虚拟机开关机</t>
        </is>
      </c>
      <c r="G264" t="inlineStr">
        <is>
          <t>根据用户描述“虚拟机无法启动”及错误提示“无法完成更新”，该问题可能涉及平台层面的开机流程阻断或虚拟机内部的操作系统更新故障。
请确认以下分类选项：
① **虚拟机-003 虚拟机开机失败**
   判断依据：用户明确描述“虚拟机无法启动”，这是最直接的外在表现，指向虚拟机生命周期管理中的启动阶段失败，概率估计 ~60%
② **虚拟机-043 虚拟机内部软件使用异常**
   判断依据：提示信息“无法完成更新”高度符合 Windows 操作系统更新失败后的回滚/循环重启特征，此时虚拟机可能已开机但业务系统不可用，概率估计 ~40%
③ 以上都不是（请补充症状描述）
请回复 ① ② 或 ③ 完成确认。</t>
        </is>
      </c>
    </row>
    <row r="265">
      <c r="A265" t="inlineStr">
        <is>
          <t>Q2026032900040</t>
        </is>
      </c>
      <c r="B265" t="inlineStr">
        <is>
          <t>HCI</t>
        </is>
      </c>
      <c r="C265" t="inlineStr"/>
      <c r="D265" t="inlineStr">
        <is>
          <t xml:space="preserve">HCI多台数据库虚拟机关机卡主 </t>
        </is>
      </c>
      <c r="E265" t="inlineStr">
        <is>
          <t>虚拟机</t>
        </is>
      </c>
      <c r="F265" t="inlineStr">
        <is>
          <t>虚拟机开关机</t>
        </is>
      </c>
      <c r="G265" t="inlineStr">
        <is>
          <t>根据您的描述“HCI多台数据库虚拟机关机卡主”，核心故障表现为虚拟机关机任务无法正常结束，符合虚拟机关机操作异常的典型特征。
您的问题可能属于以下故障之一，请确认：
① 虚拟机-004 虚拟机关机失败
   判断依据：客户明确描述“虚拟机关机卡主”，指虚拟机关机任务执行受阻或状态未变，直接对应虚拟机关机失败场景，概率估计 ~95%
② 虚拟机-009 虚拟机异常挂起
   判断依据：若虚拟机进程无响应导致关机指令无法下发，可能会被系统判定为挂起状态，从而表现为“卡主”，概率估计 ~15%
③ 以上都不是（请补充症状描述）
请回复 ① ② 或 ③ 完成确认。</t>
        </is>
      </c>
    </row>
    <row r="266">
      <c r="A266" t="inlineStr">
        <is>
          <t>Q2026032800365</t>
        </is>
      </c>
      <c r="B266" t="inlineStr">
        <is>
          <t>HCI</t>
        </is>
      </c>
      <c r="C266" t="inlineStr">
        <is>
          <t>HCI6.7.0_R3</t>
        </is>
      </c>
      <c r="D266" t="inlineStr">
        <is>
          <t>核心虚拟机进不了系统  存储延迟反馈比较大</t>
        </is>
      </c>
      <c r="E266" t="inlineStr">
        <is>
          <t>虚拟机</t>
        </is>
      </c>
      <c r="F266" t="inlineStr">
        <is>
          <t>虚拟机开关机</t>
        </is>
      </c>
      <c r="G266" t="inlineStr">
        <is>
          <t>根据您的描述“核心虚拟机进不了系统”且伴随“存储延迟反馈比较大”，这表明虚拟机业务受阻很可能是由底层存储高延迟导致IO阻塞引起。
您的问题可能属于以下故障之一，请确认：
① 虚拟机-038 虚拟机IO读写慢
   判断依据：客户描述“存储延迟反馈比较大”，高延迟直接导致虚拟机磁盘IO阻塞，表现为系统启动卡顿、无法进入系统或业务响应慢，概率估计 ~60%
② 存储-020 虚拟存储性能告警（io繁忙告警、io时延过高）
   判断依据：客户描述“存储延迟反馈比较大”，直接指向存储底层的性能瓶颈或告警，概率估计 ~35%
③ 以上都不是（请补充症状描述）
请回复 ① ② 或 ③ 完成确认。</t>
        </is>
      </c>
    </row>
    <row r="267">
      <c r="A267" t="inlineStr">
        <is>
          <t>Q2026032800280</t>
        </is>
      </c>
      <c r="B267" t="inlineStr">
        <is>
          <t>HCI</t>
        </is>
      </c>
      <c r="C267" t="inlineStr">
        <is>
          <t>6.7.0R3</t>
        </is>
      </c>
      <c r="D267" t="inlineStr">
        <is>
          <t>机房断电了，有一台虚拟机开机很慢，进不去系统</t>
        </is>
      </c>
      <c r="E267" t="inlineStr">
        <is>
          <t>虚拟机</t>
        </is>
      </c>
      <c r="F267" t="inlineStr">
        <is>
          <t>虚拟机开关机</t>
        </is>
      </c>
      <c r="G267" t="inlineStr">
        <is>
          <t>根据您提供的“机房断电”、“虚拟机开机很慢”及“进不去系统”等关键信息，问题可能涉及断电后的存储IO高负载或虚拟机状态异常。请确认具体的故障分类：
① 虚拟机-036 虚拟机整体卡慢
   判断依据：客户描述核心症状为“开机很慢”，断电重启后存储层往往面临数据同步或校验压力，极易导致虚拟机IO响应慢、整体运行卡顿，概率估计 ~60%
② 虚拟机-003 虚拟机开机失败
   判断依据：客户描述最终结果是“进不去系统”，若开机任务最终超时或系统损坏无法引导，可归类为开机失败，概率估计 ~35%
③ 以上都不是（请补充症状描述）
请回复 ① ② 或 ③ 完成确认。</t>
        </is>
      </c>
    </row>
    <row r="268">
      <c r="A268" t="inlineStr">
        <is>
          <t>Q2026032800126</t>
        </is>
      </c>
      <c r="B268" t="inlineStr">
        <is>
          <t>HCI</t>
        </is>
      </c>
      <c r="C268" t="inlineStr"/>
      <c r="D268" t="inlineStr">
        <is>
          <t>启动虚拟机失败 报错磁盘不存在</t>
        </is>
      </c>
      <c r="E268" t="inlineStr">
        <is>
          <t>虚拟机</t>
        </is>
      </c>
      <c r="F268" t="inlineStr">
        <is>
          <t>虚拟机开关机</t>
        </is>
      </c>
      <c r="G268" t="inlineStr">
        <is>
          <t>根据 [用户明确描述“启动虚拟机失败”以及具体报错“磁盘不存在”]，您的问题可能属于以下故障之一，请确认：
① 虚拟机-003 虚拟机开机失败
   判断依据：用户描述“启动虚拟机失败”直接对应本分类；报错“磁盘不存在”通常属于开机过程中存储卷挂载环节异常（如存储链路中断、卷被误删等）导致的失败，概率估计 ~95%
③ 以上都不是（请补充症状描述）
请回复 ① 或 ③ 完成确认。</t>
        </is>
      </c>
    </row>
    <row r="269">
      <c r="A269" t="inlineStr">
        <is>
          <t>Q2026032800110</t>
        </is>
      </c>
      <c r="B269" t="inlineStr">
        <is>
          <t>HCI</t>
        </is>
      </c>
      <c r="C269" t="inlineStr">
        <is>
          <t>HCI6.10.0_R2</t>
        </is>
      </c>
      <c r="D269" t="inlineStr">
        <is>
          <t>HCI，中了勒索病毒，7点多疑似被登录的操作日志，虚拟机有关机的相关日志。需要协助分析看下HCI平台是否还正常</t>
        </is>
      </c>
      <c r="E269" t="inlineStr">
        <is>
          <t>虚拟机</t>
        </is>
      </c>
      <c r="F269" t="inlineStr">
        <is>
          <t>虚拟机开关机</t>
        </is>
      </c>
      <c r="G269" t="inlineStr">
        <is>
          <t>根据您提供的工单信息，客户明确描述“中了勒索病毒”并伴有异常登录和关机日志，这属于典型的安全事件影响虚拟机业务场景。
根据 [核心故障现象：中了勒索病毒]，您的问题可能属于以下故障之一，请确认：
① 虚拟机-047 虚拟机中勒索病毒
   判断依据：客户描述明确指出“中了勒索病毒”，且伴随异常登录和虚拟机关机日志，符合虚拟机遭受勒索病毒攻击后的典型特征，概率估计 ~95%
③ 以上都不是（请补充症状描述）
请回复 ① 或 ③ 完成确认。</t>
        </is>
      </c>
    </row>
    <row r="270">
      <c r="A270" t="inlineStr">
        <is>
          <t>Q2026032701772</t>
        </is>
      </c>
      <c r="B270" t="inlineStr">
        <is>
          <t>HCI</t>
        </is>
      </c>
      <c r="C270" t="inlineStr">
        <is>
          <t>HCI6.10.0_R2</t>
        </is>
      </c>
      <c r="D270" t="inlineStr">
        <is>
          <t xml:space="preserve">HCI上部署了信创虚拟机，点关闭虚拟机会失败，必须关闭电源才行，Windows虚拟机关机正常；反馈找麒麟系统的看过说是我们平台拦截了，需要查一下原因
</t>
        </is>
      </c>
      <c r="E270" t="inlineStr">
        <is>
          <t>虚拟机</t>
        </is>
      </c>
      <c r="F270" t="inlineStr">
        <is>
          <t>虚拟机开关机</t>
        </is>
      </c>
      <c r="G270" t="inlineStr">
        <is>
          <t>根据您提供的故障现象，核心特征为“信创虚拟机关机失败，需强制断电”，这是典型的软关机流程受阻问题。
您的问题可能属于以下故障之一，请确认：
① 虚拟机-004 虚拟机关机失败
   判断依据：客户明确描述“点关闭虚拟机会失败，必须关闭电源才行”，直接对应关机操作失败的故障定义，概率估计 ~95%
③ 以上都不是（请补充症状描述）
请回复 ① 或 ③ 完成确认。</t>
        </is>
      </c>
    </row>
    <row r="271">
      <c r="A271" t="inlineStr">
        <is>
          <t>Q2026032701610</t>
        </is>
      </c>
      <c r="B271" t="inlineStr">
        <is>
          <t>HCI</t>
        </is>
      </c>
      <c r="C271" t="inlineStr">
        <is>
          <t>6.7.0_R3</t>
        </is>
      </c>
      <c r="D271" t="inlineStr">
        <is>
          <t>【服务升级】：服务商通过数字化服务平台发起服务升级，请尽快联系服务商处理！&lt;br&gt;【工单描述】：虚拟机自动关机</t>
        </is>
      </c>
      <c r="E271" t="inlineStr">
        <is>
          <t>虚拟机</t>
        </is>
      </c>
      <c r="F271" t="inlineStr">
        <is>
          <t>虚拟机开关机</t>
        </is>
      </c>
      <c r="G271" t="inlineStr">
        <is>
          <t>根据用户描述“虚拟机自动关机”，这通常是现象类描述，核心在于定位触发关机的“幕后推手”。最常见的原因是宿主机突发故障（导致虚拟机跟随断电）或虚拟机内部系统崩溃。
根据分析，您的问题可能属于以下故障之一，请确认：
① **平台-005 主机离线或异常重启**
   判断依据：若宿主机发生异常重启、掉电或网络中断，运行在其上的虚拟机会瞬间变为“关机”状态，用户侧感知即为“虚拟机自动关机”。概率估计 ~60%
② **虚拟机-042 虚拟机内部蓝屏**
   判断依据：若虚拟机操作系统内部发生严重故障（如Windows蓝屏、Linux Kernel Panic），系统可能会触发保护机制自动关机或重启。概率估计 ~30%
③ 以上都不是（请补充症状描述）
请回复 ① ② 或 ③ 完成确认。</t>
        </is>
      </c>
    </row>
    <row r="272">
      <c r="A272" t="inlineStr">
        <is>
          <t>Q2026032701570</t>
        </is>
      </c>
      <c r="B272" t="inlineStr">
        <is>
          <t>HCI</t>
        </is>
      </c>
      <c r="C272" t="inlineStr">
        <is>
          <t>6.10.0_R2</t>
        </is>
      </c>
      <c r="D272" t="inlineStr">
        <is>
          <t>centos7虚拟机开机卡在图形化界面</t>
        </is>
      </c>
      <c r="E272" t="inlineStr">
        <is>
          <t>虚拟机</t>
        </is>
      </c>
      <c r="F272" t="inlineStr">
        <is>
          <t>虚拟机开关机</t>
        </is>
      </c>
      <c r="G272" t="inlineStr">
        <is>
          <t>根据您提供的故障现象描述，问题定位如下：
根据客户描述关键词「虚拟机」、「开机」、「卡在图形化界面」，这与虚拟机图形化相关启动故障高度匹配，您的问题可能属于以下故障之一，请确认：
① 虚拟机-040 虚拟机图形化界面启动失败
   判断依据：客户明确描述“开机卡在图形化界面”，直接命中该分类定义，概率估计 ~90%
② 虚拟机-039 虚拟机卡死无响应
   判断依据：若系统在图形化界面完全卡死且无法进行任何操作，可能属于此类，概率估计 ~10%
③ 以上都不是（请补充症状描述）
请回复 ① ② 或 ③ 完成确认。</t>
        </is>
      </c>
    </row>
    <row r="273">
      <c r="A273" t="inlineStr">
        <is>
          <t>Q2026032701433</t>
        </is>
      </c>
      <c r="B273" t="inlineStr">
        <is>
          <t>HCI</t>
        </is>
      </c>
      <c r="C273" t="inlineStr">
        <is>
          <t>6.11.1_R1</t>
        </is>
      </c>
      <c r="D273" t="inlineStr">
        <is>
          <t>超融合虚拟机迁移上去开机提示这个Guest has not initialized the display，影响业务，需要协助。</t>
        </is>
      </c>
      <c r="E273" t="inlineStr">
        <is>
          <t>虚拟机</t>
        </is>
      </c>
      <c r="F273" t="inlineStr">
        <is>
          <t>虚拟机开关机</t>
        </is>
      </c>
      <c r="G273" t="inlineStr">
        <is>
          <t>根据故障现象“虚拟机迁移后开机提示 Guest has not initialized the display”，该报错通常表示虚拟机电源已启动（QEMU 进程运行），但控制台无法获取显示输出，可能是显示驱动不兼容或系统未正常引导。
您的问题可能属于以下故障之一，请确认：
① **虚拟机-041 虚拟机内部黑屏**
   判断依据：报错 "Guest has not initialized the display" 是 VNC 控制台在虚拟机无图形输出时的典型提示，属于显示异常或黑屏类故障，概率估计 ~70%
② **虚拟机-003 虚拟机开机失败**
   判断依据：用户描述为“开机提示”，虽然报错指向显示模块，但需排除迁移后因配置变更导致虚拟机实际启动流程中断的情况，概率估计 ~25%
③ 以上都不是（请补充症状描述）
请回复 ① ② 或 ③ 完成确认。</t>
        </is>
      </c>
    </row>
    <row r="274">
      <c r="A274" t="inlineStr">
        <is>
          <t>Q2026032700130</t>
        </is>
      </c>
      <c r="B274" t="inlineStr">
        <is>
          <t>HCI</t>
        </is>
      </c>
      <c r="C274" t="inlineStr"/>
      <c r="D274" t="inlineStr">
        <is>
          <t>三方操作系统带显卡迁移到HCI之后无法正常开机协助处理</t>
        </is>
      </c>
      <c r="E274" t="inlineStr">
        <is>
          <t>虚拟机</t>
        </is>
      </c>
      <c r="F274" t="inlineStr">
        <is>
          <t>虚拟机开关机</t>
        </is>
      </c>
      <c r="G274" t="inlineStr">
        <is>
          <t>根据客户描述“三方操作系统带显卡迁移到HCI之后无法正常开机”，核心故障现象为虚拟机开机失败，显存或显卡配置可能是诱因。
您的问题可能属于以下故障之一，请确认：
① 虚拟机-003 虚拟机开机失败
   判断依据：客户明确描述“无法正常开机”，这是最直接的故障表象，概率估计 ~95%
② 以上都不是（请补充症状描述）
请回复 ① 或 ② 完成确认。</t>
        </is>
      </c>
    </row>
    <row r="275">
      <c r="A275" t="inlineStr">
        <is>
          <t>Q2026032602079</t>
        </is>
      </c>
      <c r="B275" t="inlineStr">
        <is>
          <t>HCI</t>
        </is>
      </c>
      <c r="C275" t="inlineStr">
        <is>
          <t>HCI6.3.0_R1</t>
        </is>
      </c>
      <c r="D275" t="inlineStr">
        <is>
          <t>医院病历的虚拟机挂起，协助排查</t>
        </is>
      </c>
      <c r="E275" t="inlineStr">
        <is>
          <t>虚拟机</t>
        </is>
      </c>
      <c r="F275" t="inlineStr">
        <is>
          <t>虚拟机开关机</t>
        </is>
      </c>
      <c r="G275" t="inlineStr">
        <is>
          <t>根据用户描述中明确提及的“虚拟机挂起”关键词，直接对应故障分类基准中的特定状态异常，分类指向明确。
根据 [用户明确描述虚拟机处于“挂起”状态]，您的问题可能属于以下故障之一，请确认：
① 虚拟机-009 虚拟机异常挂起
   判断依据：用户描述“虚拟机挂起”，与分类名称直接匹配，概率估计 ~95%
③ 以上都不是（请补充症状描述）
请回复 ① 或 ③ 完成确认。</t>
        </is>
      </c>
    </row>
    <row r="276">
      <c r="A276" t="inlineStr">
        <is>
          <t>Q2026032602064</t>
        </is>
      </c>
      <c r="B276" t="inlineStr">
        <is>
          <t>HCI</t>
        </is>
      </c>
      <c r="C276" t="inlineStr">
        <is>
          <t>HCI6.10.0_R2</t>
        </is>
      </c>
      <c r="D276" t="inlineStr">
        <is>
          <t xml:space="preserve">【事故描述】：医院业务系统起不来了，PACS的影响业务起不来了。
【客户态度和诉求】： 需要尽快恢复业务
</t>
        </is>
      </c>
      <c r="E276" t="inlineStr">
        <is>
          <t>虚拟机</t>
        </is>
      </c>
      <c r="F276" t="inlineStr">
        <is>
          <t>虚拟机开关机</t>
        </is>
      </c>
      <c r="G276" t="inlineStr">
        <is>
          <t>根据客户描述“PACS业务起不来”，核心症状为业务不可用，可能涉及虚拟机开机流程或内部应用状态，请确认：
① 虚拟机-003 虚拟机开机失败
   判断依据：客户描述“起不来”，最直接对应虚拟机无法正常启动或开机报错，概率估计 ~60%
② 虚拟机-043 虚拟机内部软件使用异常
   判断依据：PACS属于应用软件，“起不来”也可能指虚拟机系统已启动但内部业务服务无法运行，概率估计 ~30%
③ 以上都不是（请补充症状描述）
请回复 ① ② 或 ③ 完成确认。</t>
        </is>
      </c>
    </row>
    <row r="277">
      <c r="A277" t="inlineStr">
        <is>
          <t>Q2026032601854</t>
        </is>
      </c>
      <c r="B277" t="inlineStr">
        <is>
          <t>HCI</t>
        </is>
      </c>
      <c r="C277" t="inlineStr">
        <is>
          <t>HCI5.8.3</t>
        </is>
      </c>
      <c r="D277" t="inlineStr">
        <is>
          <t>一台虚拟机内部关闭虚拟机，用来3D授权的服务器。</t>
        </is>
      </c>
      <c r="E277" t="inlineStr">
        <is>
          <t>虚拟机</t>
        </is>
      </c>
      <c r="F277" t="inlineStr">
        <is>
          <t>虚拟机开关机</t>
        </is>
      </c>
      <c r="G277" t="inlineStr">
        <is>
          <t>根据您提供的工单信息，客户描述仅为“一台虚拟机内部关闭虚拟机（用于3D授权服务器）”，未明确包含具体的故障报错或异常现象（如“无法开机”、“卡死”等），这属于虚拟机相关的操作或状态描述。
因此，该问题归类为虚拟机通用分类，请确认：
① 虚拟机-L1 虚拟机
   判断依据：客户描述仅提及虚拟机关闭操作及业务属性，未提供明确的故障症状（如开机失败、蓝屏、卡顿等），需归入虚拟机通用分类进行进一步排查，概率估计 ~90%
③ 以上都不是（请补充症状描述）
请回复 ① 或 ③ 完成确认。</t>
        </is>
      </c>
    </row>
    <row r="278">
      <c r="A278" t="inlineStr">
        <is>
          <t>Q2026032601793</t>
        </is>
      </c>
      <c r="B278" t="inlineStr">
        <is>
          <t>HCI</t>
        </is>
      </c>
      <c r="C278" t="inlineStr">
        <is>
          <t>6.10.0_R2</t>
        </is>
      </c>
      <c r="D278" t="inlineStr">
        <is>
          <t>【服务升级】：服务商通过数字化服务平台发起服务升级，请尽快联系服务商处理！&lt;br&gt;【工单描述】：HCI6.0.1R1版本，有CentOS虚拟机异常重启，操作系统层面排查日志定位是虚拟化驱动存在缺陷导致，需要协助排查。</t>
        </is>
      </c>
      <c r="E278" t="inlineStr">
        <is>
          <t>虚拟机</t>
        </is>
      </c>
      <c r="F278" t="inlineStr">
        <is>
          <t>虚拟机开关机</t>
        </is>
      </c>
      <c r="G278" t="inlineStr">
        <is>
          <t>根据客户描述“CentOS虚拟机异常重启”且“操作系统日志定位是虚拟化驱动存在缺陷”，您的问题可能属于以下故障之一，请确认：
① **虚拟机-042 虚拟机内部蓝屏**
   判断依据：客户描述明确指出操作系统日志定位为“虚拟化驱动缺陷”导致重启。Linux系统因驱动缺陷引发的内核恐慌进而导致异常重启，属于典型的虚拟机内部系统崩溃（蓝屏）范畴。概率估计 ~90%
③ 以上都不是（请补充症状描述）
请回复 ① 或 ③ 完成确认。</t>
        </is>
      </c>
    </row>
    <row r="279">
      <c r="A279" t="inlineStr">
        <is>
          <t>Q2026032601788</t>
        </is>
      </c>
      <c r="B279" t="inlineStr">
        <is>
          <t>HCI</t>
        </is>
      </c>
      <c r="C279" t="inlineStr">
        <is>
          <t>6.3.0_R3</t>
        </is>
      </c>
      <c r="D279" t="inlineStr">
        <is>
          <t>HCI 虚拟机 服务器停电 虚拟机起不来 ，本周6需要停电，需要工程师提前保障一下，</t>
        </is>
      </c>
      <c r="E279" t="inlineStr">
        <is>
          <t>虚拟机</t>
        </is>
      </c>
      <c r="F279" t="inlineStr">
        <is>
          <t>虚拟机开关机</t>
        </is>
      </c>
      <c r="G279" t="inlineStr">
        <is>
          <t>根据客户描述中明确提到的“虚拟机起不来”症状，以及“服务器停电”这一关键故障背景，您的问题可能属于以下故障之一，请确认：
① 虚拟机-003 虚拟机开机失败
   判断依据：客户直接描述“虚拟机起不来”，明确指向虚拟机启动异常，概率估计 ~70%
② 平台-005 主机离线或异常重启
   判断依据：故障背景为“服务器停电”，可能导致主机服务未完全恢复或状态异常，进而引发虚拟机无法启动，概率估计 ~25%
③ 以上都不是（请补充症状描述）
请回复 ① ② 或 ③ 完成确认。</t>
        </is>
      </c>
    </row>
    <row r="280">
      <c r="A280" t="inlineStr">
        <is>
          <t>Q2026032601770</t>
        </is>
      </c>
      <c r="B280" t="inlineStr">
        <is>
          <t>HCI</t>
        </is>
      </c>
      <c r="C280" t="inlineStr">
        <is>
          <t>6.11.1</t>
        </is>
      </c>
      <c r="D280" t="inlineStr">
        <is>
          <t>scp导入成功了 开机报错</t>
        </is>
      </c>
      <c r="E280" t="inlineStr">
        <is>
          <t>虚拟机</t>
        </is>
      </c>
      <c r="F280" t="inlineStr">
        <is>
          <t>虚拟机开关机</t>
        </is>
      </c>
      <c r="G280" t="inlineStr">
        <is>
          <t>根据您提供的描述“scp导入成功了 开机报错”，核心故障现象明确发生在虚拟机开机阶段，而非导入阶段。问题归类如下：
① 虚拟机-003 虚拟机开机失败
   判断依据：用户明确描述虚拟机已通过 SCP 导入成功，但在执行“开机”操作时出现报错，直接对应开机失败故障场景。概率估计 ~95%
③ 以上都不是（请补充症状描述）
请回复 ① 或 ③ 完成确认。</t>
        </is>
      </c>
    </row>
    <row r="281">
      <c r="A281" t="inlineStr">
        <is>
          <t>Q2026032601006</t>
        </is>
      </c>
      <c r="B281" t="inlineStr">
        <is>
          <t>HCI</t>
        </is>
      </c>
      <c r="C281" t="inlineStr">
        <is>
          <t>6.10.0</t>
        </is>
      </c>
      <c r="D281" t="inlineStr">
        <is>
          <t>超融合有一台业务虚拟机开机提示系统日志分区异常，可能主机磁盘出现坏道或故障，影响核心业务，需要协助。</t>
        </is>
      </c>
      <c r="E281" t="inlineStr">
        <is>
          <t>虚拟机</t>
        </is>
      </c>
      <c r="F281" t="inlineStr">
        <is>
          <t>虚拟机开关机</t>
        </is>
      </c>
      <c r="G281" t="inlineStr">
        <is>
          <t>根据客户描述“虚拟机开机提示系统日志分区异常”及“可能主机磁盘出现坏道”的推测，问题核心在于虚拟机启动受阻，且底层硬件（磁盘）存在高风险嫌疑。以下是故障分类确认：
① 虚拟机-003 虚拟机开机失败
   判断依据：客户明确描述“业务虚拟机开机提示...异常”，虚拟机无法正常启动是当前最直接的业务中断现象，错误信息指向系统分区异常导致启动受阻，概率估计 ~60%
② 硬件-023 硬盘坏道
   判断依据：客户描述中明确提及“可能主机磁盘出现坏道或故障”，且“系统日志分区异常”通常与底层磁盘介质错误导致分区不可读写直接相关，概率估计 ~35%
③ 以上都不是（请补充症状描述）
请回复 ① ② 或 ③ 完成确认。</t>
        </is>
      </c>
    </row>
    <row r="282">
      <c r="A282" t="inlineStr">
        <is>
          <t>Q2026032600868</t>
        </is>
      </c>
      <c r="B282" t="inlineStr">
        <is>
          <t>HCI</t>
        </is>
      </c>
      <c r="C282" t="inlineStr">
        <is>
          <t>6.11.1R1</t>
        </is>
      </c>
      <c r="D282" t="inlineStr">
        <is>
          <t>虚拟机异常重启</t>
        </is>
      </c>
      <c r="E282" t="inlineStr">
        <is>
          <t>虚拟机</t>
        </is>
      </c>
      <c r="F282" t="inlineStr">
        <is>
          <t>虚拟机开关机</t>
        </is>
      </c>
      <c r="G282" t="inlineStr"/>
    </row>
    <row r="283">
      <c r="A283" t="inlineStr">
        <is>
          <t>Q2026032600842</t>
        </is>
      </c>
      <c r="B283" t="inlineStr">
        <is>
          <t>HCI</t>
        </is>
      </c>
      <c r="C283" t="inlineStr">
        <is>
          <t>5.8.6</t>
        </is>
      </c>
      <c r="D283" t="inlineStr">
        <is>
          <t>虚拟机内部重启需要查原因</t>
        </is>
      </c>
      <c r="E283" t="inlineStr">
        <is>
          <t>虚拟机</t>
        </is>
      </c>
      <c r="F283" t="inlineStr">
        <is>
          <t>虚拟机开关机</t>
        </is>
      </c>
      <c r="G283" t="inlineStr">
        <is>
          <t>根据您的描述“虚拟机内部重启需要查原因”，这涉及到虚拟机运行状态变更的排查。问题可能出在虚拟机操作系统内部的崩溃（如蓝屏、内核恐慌）导致的重启，也可能是平台侧的高可用（HA）机制触发的重启。
综合分析，您的问题可能属于以下故障之一，请确认：
① 虚拟机-033 虚拟机异常HA
   判断依据：如果虚拟机是因宿主机故障或卡死而被平台自动重启迁移，属于异常HA范畴，需排查平台日志确定触发原因，概率估计 ~50%
② 虚拟机-005 虚拟机重启失败
   判断依据：如果是在虚拟机内部执行重启操作后，虚拟机无法正常启动或卡住，属于重启失败，概率估计 ~40%
③ 以上都不是（请补充症状描述）
请回复 ① ② 或 ③ 完成确认。</t>
        </is>
      </c>
    </row>
    <row r="284">
      <c r="A284" t="inlineStr">
        <is>
          <t>Q2026032600724</t>
        </is>
      </c>
      <c r="B284" t="inlineStr">
        <is>
          <t>HCI</t>
        </is>
      </c>
      <c r="C284" t="inlineStr"/>
      <c r="D284" t="inlineStr">
        <is>
          <t>HCI 虚拟机 异常断电以后 ，单台Linux虚拟机无法进系统，只能进入救援模式 ，影响到客户生产业务 需要协助处理</t>
        </is>
      </c>
      <c r="E284" t="inlineStr">
        <is>
          <t>虚拟机</t>
        </is>
      </c>
      <c r="F284" t="inlineStr">
        <is>
          <t>虚拟机开关机</t>
        </is>
      </c>
      <c r="G284" t="inlineStr">
        <is>
          <t>根据客户描述的“异常断电”诱因以及“Linux虚拟机只能进入救援模式”的具体症状，故障指向性明确，判定为虚拟机操作系统内部文件系统损坏。
根据 [异常断电导致文件系统不一致] 的特征，您的问题可能属于以下故障之一，请确认：
① 虚拟机-044 虚拟机内部空间或文件系统异常
   判断依据：客户描述“异常断电”后“只能进入救援模式”，这是典型的Linux文件系统日志未提交或元数据损坏导致的系统引导故障，概率估计 ~95%
③ 以上都不是（请补充症状描述）
请回复 ① 或 ③ 完成确认。</t>
        </is>
      </c>
    </row>
    <row r="285">
      <c r="A285" t="inlineStr">
        <is>
          <t>Q2026032600686</t>
        </is>
      </c>
      <c r="B285" t="inlineStr">
        <is>
          <t>HCI</t>
        </is>
      </c>
      <c r="C285" t="inlineStr">
        <is>
          <t>6.3.0_R3</t>
        </is>
      </c>
      <c r="D285" t="inlineStr">
        <is>
          <t>NFV VSSL告警内部重启，IP也变了协助排查原因</t>
        </is>
      </c>
      <c r="E285" t="inlineStr">
        <is>
          <t>虚拟机</t>
        </is>
      </c>
      <c r="F285" t="inlineStr">
        <is>
          <t>虚拟机开关机</t>
        </is>
      </c>
      <c r="G285" t="inlineStr">
        <is>
          <t>根据客户描述的“NFV VSSL告警内部重启，IP也变了”，这表明虚拟机发生了非预期的重启且网络配置发生变动。
您的问题可能属于以下故障之一，请确认：
① 虚拟机-042 虚拟机内部蓝屏
   判断依据：客户描述“内部重启”，通常指Guest OS层面发生的非正常重启（如系统崩溃、内核恐慌），此类异常重启可能导致网络服务重置或配置丢失，从而导致IP变更。概率估计 ~60%
② 虚拟机-033 虚拟机异常HA
   判断依据：若虚拟机因宿主机故障或服务异常触发了HA（高可用）机制在集群内重建，可能会导致虚拟机在不同物理位置上线，若使用DHCP或配置未同步，极易导致IP地址变更。概率估计 ~35%
③ 以上都不是（请补充症状描述）
请回复 ① ② 或 ③ 完成确认。</t>
        </is>
      </c>
    </row>
    <row r="286">
      <c r="A286" t="inlineStr">
        <is>
          <t>Q2026032600671</t>
        </is>
      </c>
      <c r="B286" t="inlineStr">
        <is>
          <t>HCI</t>
        </is>
      </c>
      <c r="C286" t="inlineStr"/>
      <c r="D286" t="inlineStr">
        <is>
          <t>虚拟机重启之后 点HCI 控制台进虚拟机之后运行时间就一直卡主 出现类似假死
现象 。内存cpu这数据都是空的 不跳动 如截图 
重启10次都是这样</t>
        </is>
      </c>
      <c r="E286" t="inlineStr">
        <is>
          <t>虚拟机</t>
        </is>
      </c>
      <c r="F286" t="inlineStr">
        <is>
          <t>虚拟机开关机</t>
        </is>
      </c>
      <c r="G286" t="inlineStr">
        <is>
          <t>根据您提供的虚拟机重启后控制台卡住、运行时间静止、监控数据为空的描述，这属于典型的虚拟机运行状态异常。
请确认以下故障分类：
① 虚拟机-039 虚拟机卡死无响应
   判断依据：用户描述“运行时间一直卡主”、“类似假死”、“内存cpu数据都是空的 不跳动”，符合虚拟机进程僵死或失去响应的典型特征。概率估计 ~95%
③ 以上都不是（请补充症状描述）
请回复 ① 或 ③ 完成确认。</t>
        </is>
      </c>
    </row>
    <row r="287">
      <c r="A287" t="inlineStr">
        <is>
          <t>Q2026032600107</t>
        </is>
      </c>
      <c r="B287" t="inlineStr">
        <is>
          <t>HCI</t>
        </is>
      </c>
      <c r="C287" t="inlineStr"/>
      <c r="D287" t="inlineStr">
        <is>
          <t>反馈服务器重启后centos虚拟机异常，需要协助处理</t>
        </is>
      </c>
      <c r="E287" t="inlineStr">
        <is>
          <t>虚拟机</t>
        </is>
      </c>
      <c r="F287" t="inlineStr">
        <is>
          <t>虚拟机开关机</t>
        </is>
      </c>
      <c r="G287" t="inlineStr">
        <is>
          <t>根据用户描述“服务器重启后centos虚拟机异常”，故障核心实体为【虚拟机】，触发场景为【主机/服务器重启】。此类场景通常会导致虚拟机状态异常（无法开机、挂起）或因非正常关机导致操作系统内部文件系统损坏。
结合知识库分类基准，最可能的故障分类如下：
① 虚拟机-003 虚拟机开机失败
   判断依据：服务器重启后，虚拟机可能因宿主机资源抢占、存储连接中断或状态锁死导致无法正常开机，概率估计 ~60%
② 虚拟机-044 虚拟机内部空间或文件系统异常
   判断依据：CentOS 虚拟机在物理机意外重启后，极易因非正常关机导致文件系统损坏（如进入 emergency mode）或磁盘空间爆满，表现为“虚拟机异常”，概率估计 ~30%
③ 以上都不是（请补充症状描述）
请回复 ① ② 或 ③ 完成确认。</t>
        </is>
      </c>
    </row>
    <row r="288">
      <c r="A288" t="inlineStr">
        <is>
          <t>Q2026032600069</t>
        </is>
      </c>
      <c r="B288" t="inlineStr">
        <is>
          <t>HCI</t>
        </is>
      </c>
      <c r="C288" t="inlineStr">
        <is>
          <t>6.10.0_R2</t>
        </is>
      </c>
      <c r="D288" t="inlineStr">
        <is>
          <t>HCI 24号两个虚拟机无响应重启，协助排查原因</t>
        </is>
      </c>
      <c r="E288" t="inlineStr">
        <is>
          <t>虚拟机</t>
        </is>
      </c>
      <c r="F288" t="inlineStr">
        <is>
          <t>虚拟机开关机</t>
        </is>
      </c>
      <c r="G288" t="inlineStr">
        <is>
          <t>根据您提供的故障现象“24号两个虚拟机无响应重启”，这通常指向虚拟机运行状态异常或高可用机制介入。问题可能属于以下故障分类，请确认：
① 虚拟机-039 虚拟机卡死无响应
   判断依据：客户描述关键词“虚拟机无响应”，通常指虚拟机进程卡死或内部业务死锁，导致需要重启恢复，概率估计 ~60%
② 虚拟机-033 虚拟机异常HA
   判断依据：客户描述关键词“重启”，若虚拟机因宿主机故障或看门狗机制触发自动重启，属于异常HA场景，概率估计 ~30%
③ 以上都不是（请补充症状描述）
请回复 ① ② 或 ③ 完成确认。</t>
        </is>
      </c>
    </row>
    <row r="289">
      <c r="A289" t="inlineStr">
        <is>
          <t>Q2026032600014</t>
        </is>
      </c>
      <c r="B289" t="inlineStr">
        <is>
          <t>HCI</t>
        </is>
      </c>
      <c r="C289" t="inlineStr">
        <is>
          <t>HCI6.7.0_R3</t>
        </is>
      </c>
      <c r="D289" t="inlineStr">
        <is>
          <t>【事故描述】：所有虚拟机异常关机
【客户态度和诉求】： 需要尽快恢复业务所有虚拟机异常关机</t>
        </is>
      </c>
      <c r="E289" t="inlineStr">
        <is>
          <t>虚拟机</t>
        </is>
      </c>
      <c r="F289" t="inlineStr">
        <is>
          <t>虚拟机开关机</t>
        </is>
      </c>
      <c r="G289" t="inlineStr">
        <is>
          <t>根据用户描述“所有虚拟机异常关机”，该现象通常指向底层物理主机故障或存储链路中断，导致依赖其运行的虚拟机全部关闭。最核心的特征是影响范围为“所有”，而非单台虚拟机。结合深信服HCI机制，宿主机异常重启或离线是导致该现象的最常见原因。
根据 [所有虚拟机异常关机，范围覆盖全面]，您的问题可能属于以下故障之一，请确认：
① 平台-005 主机离线或异常重启
   判断依据：用户描述“所有虚拟机异常关机”，若宿主机发生异常重启、掉电或离线，会导致其上承载的所有虚拟机同时中断并关闭，符合“异常关机”且范围全量的特征，概率估计 ~85%
② 以上都不是（请补充症状描述）
请回复 ① 或 ② 完成确认。</t>
        </is>
      </c>
    </row>
    <row r="290">
      <c r="A290" t="inlineStr">
        <is>
          <t>Q2026032501976</t>
        </is>
      </c>
      <c r="B290" t="inlineStr">
        <is>
          <t>HCI</t>
        </is>
      </c>
      <c r="C290" t="inlineStr">
        <is>
          <t>HCI6.11.1_R1</t>
        </is>
      </c>
      <c r="D290">
        <f>===海外工单信息====
    海外工单ID：20260325860136
    事件等级：Priority1
    产品线：HCI::6.11.1_R1
====客户信息====
    客户ID：8664
    客户MDM ID：0ddd979282518a1ef21fd6159781365e
    客户名称：Rockwell Land Corporation【Philippines】
    客户区域：Philippines
    客户类型：
====工单信息====
TAC负责人：陈平
研发责任人：李涵
【事件编号】Ticket#20260325860136
【上升工单】
【版本信息】6.11.1R1
【问题描述】虚拟机启动卡在这个界面，客户将虚拟机修改了高性能，系统无法启动[图片]【业务影响】ERP虚拟机无法使用
【当前进展】
1）后台取消了高性能转换的进程后，启动虚拟机发现虚拟机还是卡在正在查找磁盘界面
2）检查磁盘状态正常[图片]3）尝试改了虚拟机的启动方式从seabios改成了UEFI 现在自动修复[图片]【下一步计划】</f>
        <v/>
      </c>
      <c r="E290" t="inlineStr">
        <is>
          <t>虚拟机</t>
        </is>
      </c>
      <c r="F290" t="inlineStr">
        <is>
          <t>虚拟机开关机</t>
        </is>
      </c>
      <c r="G290" t="inlineStr">
        <is>
          <t>根据虚拟机启动过程中“卡在正在查找磁盘界面”以及修改启动模式后“自动修复”的现象，该问题属于典型的启动流程异常，请您确认以下分类：
① 虚拟机-003 虚拟机开机失败
   判断依据：虚拟机启动卡在“正在查找磁盘”界面，修改 BIOS 为 UEFI 后进入自动修复状态，均表明虚拟机无法正常引导进入操作系统，符合开机失败特征，概率估计 ~95%
③ 以上都不是（请补充症状描述）
请回复 ① 或 ③ 完成确认。</t>
        </is>
      </c>
    </row>
    <row r="291">
      <c r="A291" t="inlineStr">
        <is>
          <t>Q2026032501803</t>
        </is>
      </c>
      <c r="B291" t="inlineStr">
        <is>
          <t>HCI</t>
        </is>
      </c>
      <c r="C291" t="inlineStr">
        <is>
          <t>HCI6.8.0</t>
        </is>
      </c>
      <c r="D291">
        <f>===海外工单信息====
    海外工单ID：20260325860130
    事件等级：Priority3
    产品线：HCI::6.8.0
====客户信息====
    客户ID：30013
    客户MDM ID：b2b6e911446b4995a18cd48969f4d605
    客户名称：MEDICAL ALUMNI ASSOCIATION OF PERPETUAL SUCCOUR HOSPITAL, INC.【Philippines】
    客户区域：Philippines
    客户类型：
====工单信息====
设备部署模式：HCI 680
客户背景： 菲律宾/Medical Perpetual Hospital
问题现象：虚拟机挂起，开不了机
排查过程：
发现问题NFS锁泄露了，需要重启一下nfs服务恢复。
重要备注：
是否已开群（企微）：是
企微群名：【菲律宾/Medical Perpetual Hospital】- VS同步异常，虚拟机开不了机</f>
        <v/>
      </c>
      <c r="E291" t="inlineStr">
        <is>
          <t>虚拟机</t>
        </is>
      </c>
      <c r="F291" t="inlineStr">
        <is>
          <t>虚拟机开关机</t>
        </is>
      </c>
      <c r="G291" t="inlineStr">
        <is>
          <t>根据排查过程中明确的“NFS锁泄露”这一关键错误信息，以及虚拟机无法开机的现象，推断主要故障点位于存储域。
您的故障可能属于以下分类，请确认：
① 存储-L2-NFS NFS
   判断依据：排查过程明确指出“发现问题NFS锁泄露了”，直接指向NFS存储服务异常导致虚拟机挂起及无法开机，概率估计 ~90%
② 虚拟机-003 虚拟机开机失败
   判断依据：客户原始问题描述为“虚拟机挂起，开不了机”，属于虚拟机生命周期管理中的开机故障，概率估计 ~10%
③ 以上都不是（请补充症状描述）
请回复 ① ② 或 ③ 完成确认。</t>
        </is>
      </c>
    </row>
    <row r="292">
      <c r="A292" t="inlineStr">
        <is>
          <t>Q2026032501669</t>
        </is>
      </c>
      <c r="B292" t="inlineStr">
        <is>
          <t>HCI</t>
        </is>
      </c>
      <c r="C292" t="inlineStr">
        <is>
          <t>与版本无关</t>
        </is>
      </c>
      <c r="D292" t="inlineStr">
        <is>
          <t>虚拟机凌晨出现内部重启需要排查</t>
        </is>
      </c>
      <c r="E292" t="inlineStr">
        <is>
          <t>虚拟机</t>
        </is>
      </c>
      <c r="F292" t="inlineStr">
        <is>
          <t>虚拟机开关机</t>
        </is>
      </c>
      <c r="G292" t="inlineStr">
        <is>
          <t>根据客户描述“虚拟机凌晨出现内部重启”，重点在于区分是操作系统层面的崩溃恢复还是平台层面的高可用切换。结合分类基准，匹配结果如下：
① 虚拟机-042 虚拟机内部蓝屏
   判断依据：客户描述为“内部重启”，通常指 Guest OS 自行重启，常见于 Windows 蓝屏或 Linux 内核恐慌后的自动恢复行为，概率估计 ~70%
② 虚拟机-033 虚拟机异常HA
   判断依据：若客户误将平台侧的高可用（HA）切换拉起视为“内部重启”，则可能是宿主机故障导致的虚拟机异地重启，概率估计 ~20%
③ 以上都不是（请补充症状描述）
请回复 ① ② 或 ③ 完成确认。</t>
        </is>
      </c>
    </row>
    <row r="293">
      <c r="A293" t="inlineStr">
        <is>
          <t>Q2026032501219</t>
        </is>
      </c>
      <c r="B293" t="inlineStr">
        <is>
          <t>HCI</t>
        </is>
      </c>
      <c r="C293" t="inlineStr">
        <is>
          <t>6.10.0R2</t>
        </is>
      </c>
      <c r="D293" t="inlineStr">
        <is>
          <t>linux虚拟机重启后无法正常进系统，影响非核心业务</t>
        </is>
      </c>
      <c r="E293" t="inlineStr">
        <is>
          <t>虚拟机</t>
        </is>
      </c>
      <c r="F293" t="inlineStr">
        <is>
          <t>虚拟机开关机</t>
        </is>
      </c>
      <c r="G293" t="inlineStr">
        <is>
          <t>根据您的描述，故障现象为虚拟机重启后无法进入操作系统，这通常涉及重启操作本身失败或操作系统层面的启动异常。
请确认以下最可能的故障分类：
① 虚拟机-005 虚拟机重启失败
   判断依据：用户明确描述“重启后”出现异常，问题直接关联于重启操作导致业务不可用，概率估计 ~50%
② 虚拟机-041 虚拟机内部黑屏
   判断依据：Linux 虚拟机无法进入系统时，控制台常表现为黑屏（卡在 Grub/内核阶段）或无响应状态，概率估计 ~40%
③ 以上都不是（请补充症状描述）
请回复 ① ② 或 ③ 完成确认。</t>
        </is>
      </c>
    </row>
    <row r="294">
      <c r="A294" t="inlineStr">
        <is>
          <t>Q2026032500533</t>
        </is>
      </c>
      <c r="B294" t="inlineStr">
        <is>
          <t>HCI</t>
        </is>
      </c>
      <c r="C294" t="inlineStr">
        <is>
          <t>HCI6.7.0_R3</t>
        </is>
      </c>
      <c r="D294" t="inlineStr">
        <is>
          <t>反馈2主机环境，副本不一致，核心虚拟机无法开机</t>
        </is>
      </c>
      <c r="E294" t="inlineStr">
        <is>
          <t>虚拟机</t>
        </is>
      </c>
      <c r="F294" t="inlineStr">
        <is>
          <t>虚拟机开关机</t>
        </is>
      </c>
      <c r="G294" t="inlineStr">
        <is>
          <t>根据客户描述的“副本不一致”及“虚拟机无法开机”现象，您的问题可能属于以下故障之一，请确认：
① 存储-009 数据副本失控或脑裂
   判断依据：客户明确提及“副本不一致”，且为“2主机环境”（双节点架构易发生仲裁/脑裂问题），此存储层数据一致性故障直接导致虚拟机无法开机，概率估计 ~70%
② 虚拟机-003 虚拟机开机失败
   判断依据：客户核心诉求为“核心虚拟机无法开机”，若经排查存储副本状态正常，则需按虚拟机开机失败链路诊断，概率估计 ~25%
③ 以上都不是（请补充症状描述）
请回复 ① ② 或 ③ 完成确认。</t>
        </is>
      </c>
    </row>
    <row r="295">
      <c r="A295" t="inlineStr">
        <is>
          <t>Q2026032500488</t>
        </is>
      </c>
      <c r="B295" t="inlineStr">
        <is>
          <t>HCI</t>
        </is>
      </c>
      <c r="C295" t="inlineStr"/>
      <c r="D295" t="inlineStr">
        <is>
          <t>1、主机内存168G，开机一台128G的XDR虚拟机，报错可用计算内存不足，查看主机占用只有29G，剩余内存是足够开机的
2、另外有一台198G的主机，运行了两台128G的XDR虚拟机</t>
        </is>
      </c>
      <c r="E295" t="inlineStr">
        <is>
          <t>虚拟机</t>
        </is>
      </c>
      <c r="F295" t="inlineStr">
        <is>
          <t>虚拟机开关机</t>
        </is>
      </c>
      <c r="G295" t="inlineStr">
        <is>
          <t>根据用户描述“开机一台128G虚拟机报错可用计算内存不足”，这是典型的虚拟机启动失败场景，涉及资源分配逻辑。
您的问题可能属于以下故障之一，请确认：
① 虚拟机-003 虚拟机开机失败
   判断依据：用户明确描述“开机一台128G的XDR虚拟机，报错可用计算内存不足”，符合虚拟机启动过程中资源校验失败导致开机中断的特征，概率估计 ~95%
② 以上都不是（请补充症状描述）
请回复 ① 或 ② 完成确认。</t>
        </is>
      </c>
    </row>
    <row r="296">
      <c r="A296" t="inlineStr">
        <is>
          <t>Q2026032500397</t>
        </is>
      </c>
      <c r="B296" t="inlineStr">
        <is>
          <t>HCI</t>
        </is>
      </c>
      <c r="C296" t="inlineStr"/>
      <c r="D296" t="inlineStr">
        <is>
          <t>纳管迁移win server 2003虚拟机，迁移过来后，虚拟机无法重启、使用快捷键，鼠标能动</t>
        </is>
      </c>
      <c r="E296" t="inlineStr">
        <is>
          <t>虚拟机</t>
        </is>
      </c>
      <c r="F296" t="inlineStr">
        <is>
          <t>虚拟机开关机</t>
        </is>
      </c>
      <c r="G296" t="inlineStr">
        <is>
          <t>根据客户描述“纳管迁移后虚拟机无法重启、无法使用快捷键”，结合Win Server 2003老旧系统特性，问题可能属于以下故障分类，请确认：
① 虚拟机-005 虚拟机重启失败
   判断依据：客户明确描述“虚拟机无法重启”，概率估计 ~60%
② 虚拟机-043 虚拟机内部软件使用异常
   判断依据：客户描述“无法使用快捷键”，且Win2003迁移后常因驱动或工具兼容性问题导致交互异常，概率估计 ~30%
③ 以上都不是（请补充症状描述）
请回复 ① ② 或 ③ 完成确认。</t>
        </is>
      </c>
    </row>
    <row r="297">
      <c r="A297" t="inlineStr">
        <is>
          <t>Q2026032500276</t>
        </is>
      </c>
      <c r="B297" t="inlineStr">
        <is>
          <t>HCI</t>
        </is>
      </c>
      <c r="C297" t="inlineStr"/>
      <c r="D297" t="inlineStr">
        <is>
          <t xml:space="preserve">业务虚拟机不能开机报错找不到文件然后进了救援模式 </t>
        </is>
      </c>
      <c r="E297" t="inlineStr">
        <is>
          <t>虚拟机</t>
        </is>
      </c>
      <c r="F297" t="inlineStr">
        <is>
          <t>虚拟机开关机</t>
        </is>
      </c>
      <c r="G297" t="inlineStr">
        <is>
          <t>根据您提供的「业务虚拟机不能开机，报错找不到文件，进了救援模式」描述，问题可能属于以下故障分类，请确认：
① 虚拟机-003 虚拟机开机失败
   判断依据：用户主诉“虚拟机不能开机”，这是最直接的故障现象分类，涵盖因配置丢失、存储文件缺失导致的启动中断，概率估计 ~60%
② 虚拟机-044 虚拟机内部空间或文件系统异常
   判断依据：详细症状提及“报错找不到文件”且“进了救援模式”，这通常是 GuestOS 内部引导文件丢失、文件系统损坏或内核 panic 导致的典型状态，概率估计 ~35%
③ 以上都不是（请补充症状描述）
请回复 ① ② 或 ③ 完成确认。</t>
        </is>
      </c>
    </row>
    <row r="298">
      <c r="A298" t="inlineStr">
        <is>
          <t>Q2026032500248</t>
        </is>
      </c>
      <c r="B298" t="inlineStr">
        <is>
          <t>HCI</t>
        </is>
      </c>
      <c r="C298" t="inlineStr">
        <is>
          <t>6.11.1_R1</t>
        </is>
      </c>
      <c r="D298" t="inlineStr">
        <is>
          <t>备份恢复出来的一台全新虚拟机，开机报错正在进行其他操作，但操作列表没有任务了</t>
        </is>
      </c>
      <c r="E298" t="inlineStr">
        <is>
          <t>虚拟机</t>
        </is>
      </c>
      <c r="F298" t="inlineStr">
        <is>
          <t>虚拟机开关机</t>
        </is>
      </c>
      <c r="G298" t="inlineStr">
        <is>
          <t>根据您的描述，故障核心表现为虚拟机执行“开机”动作时报错，提示“正在进行其他操作”，这直接对应开机失败场景。虽然虚拟机来源于备份恢复，但当前故障点在于“开机”动作被阻断。
请确认以下分类：
① 虚拟机-003 虚拟机开机失败
   判断依据：用户明确描述“开机报错”，且错误提示“正在进行其他操作”属于开机流程中的状态校验失败，概率估计 ~95%
③ 以上都不是（请补充症状描述）
请回复 ① 或 ③ 完成确认。</t>
        </is>
      </c>
    </row>
    <row r="299">
      <c r="A299" t="inlineStr">
        <is>
          <t>Q2026032500062</t>
        </is>
      </c>
      <c r="B299" t="inlineStr">
        <is>
          <t>HCI</t>
        </is>
      </c>
      <c r="C299" t="inlineStr">
        <is>
          <t>HCI6.0.0_R3</t>
        </is>
      </c>
      <c r="D299" t="inlineStr">
        <is>
          <t>虚拟机一直卡在在启动中</t>
        </is>
      </c>
      <c r="E299" t="inlineStr">
        <is>
          <t>虚拟机</t>
        </is>
      </c>
      <c r="F299" t="inlineStr">
        <is>
          <t>虚拟机开关机</t>
        </is>
      </c>
      <c r="G299" t="inlineStr">
        <is>
          <t>根据客户描述“虚拟机一直卡在在启动中”，该现象直接指向虚拟机生命周期管理中的启动流程异常。在HCI平台中，若虚拟机状态长时间停留在“启动中”而无进一步状态变更，通常属于开机失败或任务挂起范畴。
您的问题可能属于以下故障之一，请确认：
① 虚拟机-003 虚拟机开机失败
   判断依据：客户描述虚拟机卡在启动状态，符合开机任务未成功完成的标准定义，概率估计 ~90%
③ 以上都不是（请补充症状描述）
请回复 ① 或 ③ 完成确认。</t>
        </is>
      </c>
    </row>
    <row r="300">
      <c r="A300" t="inlineStr">
        <is>
          <t>Q2026032500032</t>
        </is>
      </c>
      <c r="B300" t="inlineStr">
        <is>
          <t>HCI</t>
        </is>
      </c>
      <c r="C300" t="inlineStr">
        <is>
          <t>6.11.1_R1</t>
        </is>
      </c>
      <c r="D300" t="inlineStr">
        <is>
          <t>UEFI启动的虚拟机，挂起不了，协助处理</t>
        </is>
      </c>
      <c r="E300" t="inlineStr">
        <is>
          <t>虚拟机</t>
        </is>
      </c>
      <c r="F300" t="inlineStr">
        <is>
          <t>虚拟机开关机</t>
        </is>
      </c>
      <c r="G300" t="inlineStr">
        <is>
          <t>根据用户描述中明确提到的“UEFI启动的虚拟机”及“挂起不了”这一核心故障现象，该问题直接对应虚拟机生命周期管理中的挂起操作异常。UEFI 虚拟机在挂起功能上常存在兼容性限制或配置要求。
您的问题可能属于以下故障之一，请确认：
① **虚拟机-009 虚拟机异常挂起**
   判断依据：用户明确描述“UEFI启动的虚拟机，挂起不了”，直接指向虚拟机挂起操作失败或异常，概率估计 ~95%
③ 以上都不是（请补充症状描述）
请回复 ① 或 ③ 完成确认。</t>
        </is>
      </c>
    </row>
    <row r="301">
      <c r="A301" t="inlineStr">
        <is>
          <t>Q2026032500016</t>
        </is>
      </c>
      <c r="B301" t="inlineStr">
        <is>
          <t>HCI</t>
        </is>
      </c>
      <c r="C301" t="inlineStr">
        <is>
          <t>6.10.0_R2</t>
        </is>
      </c>
      <c r="D301" t="inlineStr">
        <is>
          <t>数据库虚拟机异常关机</t>
        </is>
      </c>
      <c r="E301" t="inlineStr">
        <is>
          <t>虚拟机</t>
        </is>
      </c>
      <c r="F301" t="inlineStr">
        <is>
          <t>虚拟机开关机</t>
        </is>
      </c>
      <c r="G301" t="inlineStr"/>
    </row>
    <row r="302">
      <c r="A302" t="inlineStr">
        <is>
          <t>Q2026032500014</t>
        </is>
      </c>
      <c r="B302" t="inlineStr">
        <is>
          <t>HCI</t>
        </is>
      </c>
      <c r="C302" t="inlineStr">
        <is>
          <t>6.10.0_R2</t>
        </is>
      </c>
      <c r="D302" t="inlineStr">
        <is>
          <t>数据库虚拟机会反复重启，昨晚以及今天凌晨的时候</t>
        </is>
      </c>
      <c r="E302" t="inlineStr">
        <is>
          <t>虚拟机</t>
        </is>
      </c>
      <c r="F302" t="inlineStr">
        <is>
          <t>虚拟机开关机</t>
        </is>
      </c>
      <c r="G302" t="inlineStr">
        <is>
          <t>根据「数据库虚拟机会反复重启」的症状描述，这通常是虚拟机高可用机制触发或内部系统崩溃导致。问题可能属于以下故障之一，请确认：
① 虚拟机-033 虚拟机异常HA
   判断依据：虚拟机反复重启最常见原因是平台HA机制被错误触发（如心跳丢失、存储链路抖动），导致平台强制重启虚拟机以恢复业务。概率估计 ~60%
② 虚拟机-042 虚拟机内部蓝屏
   判断依据：数据库业务负载较重，可能因内存溢出、驱动冲突等原因导致操作系统内核崩溃（Windows蓝屏/Linux Panic），触发系统自动重启。概率估计 ~35%
③ 以上都不是（请补充症状描述）
请回复 ① ② 或 ③ 完成确认。</t>
        </is>
      </c>
    </row>
    <row r="303">
      <c r="A303" t="inlineStr">
        <is>
          <t>Q2026032401968</t>
        </is>
      </c>
      <c r="B303" t="inlineStr">
        <is>
          <t>HCI</t>
        </is>
      </c>
      <c r="C303" t="inlineStr">
        <is>
          <t>6.3.0R1</t>
        </is>
      </c>
      <c r="D303" t="inlineStr">
        <is>
          <t>HCI，有几台虚拟机关机状态，起不来，影响结算</t>
        </is>
      </c>
      <c r="E303" t="inlineStr">
        <is>
          <t>虚拟机</t>
        </is>
      </c>
      <c r="F303" t="inlineStr">
        <is>
          <t>虚拟机开关机</t>
        </is>
      </c>
      <c r="G303" t="inlineStr">
        <is>
          <t>根据用户描述“虚拟机关机状态，起不来”，判断为虚拟机开机操作失败。
① 虚拟机-003 虚拟机开机失败
   判断依据：用户明确描述“虚拟机关机状态，起不来”，属于典型的开机操作执行失败场景。概率估计 ~99%
③ 以上都不是（请补充症状描述）
请回复 ① 或 ③ 完成确认。</t>
        </is>
      </c>
    </row>
    <row r="304">
      <c r="A304" t="inlineStr">
        <is>
          <t>Q2026032401383</t>
        </is>
      </c>
      <c r="B304" t="inlineStr">
        <is>
          <t>HCI</t>
        </is>
      </c>
      <c r="C304" t="inlineStr"/>
      <c r="D304" t="inlineStr">
        <is>
          <t>重启虚拟机电源卡主2天了协助处理</t>
        </is>
      </c>
      <c r="E304" t="inlineStr">
        <is>
          <t>虚拟机</t>
        </is>
      </c>
      <c r="F304" t="inlineStr">
        <is>
          <t>虚拟机开关机</t>
        </is>
      </c>
      <c r="G304" t="inlineStr">
        <is>
          <t>根据用户描述“重启虚拟机电源卡主2天”，问题核心在于虚拟机生命周期操作（重启）无法完成，且呈现长时卡顿状态。这通常属于虚拟机域的故障。
请确认以下分类：
① **虚拟机-005 虚拟机重启失败**
   判断依据：用户明确描述操作动作为“重启虚拟机”，且结果为“卡住”，符合重启任务执行失败或超时的特征，概率估计 ~70%
② **虚拟机-039 虚拟机卡死无响应**
   判断依据：虚拟机状态“卡住”持续“2天”，表明虚拟机可能处于僵尸状态或内部已死机，导致电源操作无响应，概率估计 ~25%
③ 以上都不是（请补充症状描述）
请回复 ① ② 或 ③ 完成确认。</t>
        </is>
      </c>
    </row>
    <row r="305">
      <c r="A305" t="inlineStr">
        <is>
          <t>Q2026032401128</t>
        </is>
      </c>
      <c r="B305" t="inlineStr">
        <is>
          <t>HCI</t>
        </is>
      </c>
      <c r="C305" t="inlineStr">
        <is>
          <t>6.11.1_R1</t>
        </is>
      </c>
      <c r="D305" t="inlineStr">
        <is>
          <t>虚拟机自动内部重启，伴随内存不足告警信息</t>
        </is>
      </c>
      <c r="E305" t="inlineStr">
        <is>
          <t>虚拟机</t>
        </is>
      </c>
      <c r="F305" t="inlineStr">
        <is>
          <t>虚拟机开关机</t>
        </is>
      </c>
      <c r="G305" t="inlineStr">
        <is>
          <t>根据您提供的「虚拟机自动内部重启，伴随内存不足告警信息」，我为您分析如下：
关键实体识别：**虚拟机**
关键症状识别：**自动内部重启**（Guest OS层面）、**内存不足告警**
分析推理：
1.  **症状匹配**：用户明确提到“内存不足告警信息”，这直接对应监控类故障分类。
2.  **关联分析**：虚拟机“内部重启”通常是由于Guest OS内部触发了OOM（Out of Memory）机制导致系统崩溃重启，这与“内存不足告警”存在直接的因果关系。
3.  **候选定位**：
    - 主要候选：**虚拟机-052**。这是最直接的告警分类，涵盖了虚拟机资源使用过高的场景。
    - 次要候选：**虚拟机-042**。内部重启往往是系统崩溃（Windows蓝屏/Linux Panic）的表现形式，若用户关注点在于“重启/崩溃”本身而非资源告警，则归为此类。
请确认您要排查的故障类型：
① **虚拟机-052 虚拟机CPU或内存占用过高告警**
   判断依据：用户描述明确提及“伴随内存不足告警信息”，且虚拟机内部重启极大概率是由内存耗尽触发OOM导致。概率估计 ~80%
② **虚拟机-042 虚拟机内部蓝屏**
   判断依据：虚拟机“自动内部重启”通常是Guest OS遭遇致命错误（如Windows蓝屏自动重启、Linux Kernel Panic）后的表现，内存不足是常见诱因之一。概率估计 ~15%
③ 以上都不是（请补充症状描述）
请回复 ① ② 或 ③ 完成确认。</t>
        </is>
      </c>
    </row>
    <row r="306">
      <c r="A306" t="inlineStr">
        <is>
          <t>Q2026032401026</t>
        </is>
      </c>
      <c r="B306" t="inlineStr">
        <is>
          <t>HCI</t>
        </is>
      </c>
      <c r="C306" t="inlineStr">
        <is>
          <t>6.10.0_R2</t>
        </is>
      </c>
      <c r="D306" t="inlineStr">
        <is>
          <t>反馈虚拟机触发13点31分重启</t>
        </is>
      </c>
      <c r="E306" t="inlineStr">
        <is>
          <t>虚拟机</t>
        </is>
      </c>
      <c r="F306" t="inlineStr">
        <is>
          <t>虚拟机开关机</t>
        </is>
      </c>
      <c r="G306" t="inlineStr">
        <is>
          <t>根据您提供的工单信息“反馈虚拟机触发13点31分重启”，该描述存在两种可能性：一是虚拟机发生了非预期的自动重启（HA或异常），二是用户手动执行了重启操作但未达到预期（如失败或卡住）。
请确认以下最可能的故障分类：
① 虚拟机-033 虚拟机异常HA
   判断依据：描述中提到“虚拟机触发...重启”，且强调了具体时间点，通常暗示虚拟机发生了非人为预期的自动重启行为，符合异常HA或被系统强制重启的特征，概率估计 ~60%
② 虚拟机-005 虚拟机重启失败
   判断依据：若“触发”是指用户手动执行了重启操作，且该操作遇到了问题（如一直卡在重启状态、报错），则属于此类，概率估计 ~30%
③ 以上都不是（请补充症状描述）
请回复 ① ② 或 ③ 完成确认。</t>
        </is>
      </c>
    </row>
    <row r="307">
      <c r="A307" t="inlineStr">
        <is>
          <t>Q2026032301618</t>
        </is>
      </c>
      <c r="B307" t="inlineStr">
        <is>
          <t>HCI</t>
        </is>
      </c>
      <c r="C307" t="inlineStr"/>
      <c r="D307" t="inlineStr">
        <is>
          <t>HCI 断电以后，所有虚拟机无法起来，影响到核心业务</t>
        </is>
      </c>
      <c r="E307" t="inlineStr">
        <is>
          <t>虚拟机</t>
        </is>
      </c>
      <c r="F307" t="inlineStr">
        <is>
          <t>虚拟机开关机</t>
        </is>
      </c>
      <c r="G307" t="inlineStr">
        <is>
          <t>根据 [客户描述：断电后虚拟机无法启动]，您的问题可能属于以下故障之一，请确认：
① 虚拟机-003 虚拟机开机失败
   判断依据：用户明确描述“所有虚拟机无法起来”，直接对应虚拟机启动失败的故障现象，概率估计 ~70%
② 虚拟机-032 虚拟机HA不达预期
   判断依据：故障场景为“HCI 断电以后”，通常涉及断电保护或HA（高可用）自动拉起机制，若虚拟机未能自动恢复，可能属于HA功能未达预期，概率估计 ~25%
③ 以上都不是（请补充症状描述）
请回复 ① ② 或 ③ 完成确认。</t>
        </is>
      </c>
    </row>
    <row r="308">
      <c r="A308" t="inlineStr">
        <is>
          <t>Q2026032301405</t>
        </is>
      </c>
      <c r="B308" t="inlineStr">
        <is>
          <t>HCI</t>
        </is>
      </c>
      <c r="C308" t="inlineStr">
        <is>
          <t>6.10.0_R2</t>
        </is>
      </c>
      <c r="D308" t="inlineStr">
        <is>
          <t>两台虚拟机卡死  无法关机关电源</t>
        </is>
      </c>
      <c r="E308" t="inlineStr">
        <is>
          <t>虚拟机</t>
        </is>
      </c>
      <c r="F308" t="inlineStr">
        <is>
          <t>虚拟机开关机</t>
        </is>
      </c>
      <c r="G308" t="inlineStr">
        <is>
          <t>根据用户描述的“虚拟机卡死”及“无法关机关电源”症状，故障定位分析如下：
① 虚拟机-004 虚拟机关机失败
   判断依据：用户明确提及“无法关机关电源”，直接对应虚拟机关机操作失败的故障场景，概率估计 ~60%
② 虚拟机-039 虚拟机卡死无响应
   判断依据：用户描述“虚拟机卡死”，且因卡死状态导致无法响应关机指令，符合虚拟机无响应的故障定义，概率估计 ~40%
③ 以上都不是（请补充症状描述）
请回复 ① ② 或 ③ 完成确认。</t>
        </is>
      </c>
    </row>
    <row r="309">
      <c r="A309" t="inlineStr">
        <is>
          <t>Q2026032301357</t>
        </is>
      </c>
      <c r="B309" t="inlineStr">
        <is>
          <t>HCI</t>
        </is>
      </c>
      <c r="C309" t="inlineStr"/>
      <c r="D309" t="inlineStr">
        <is>
          <t>虚拟机重启无法正常启动</t>
        </is>
      </c>
      <c r="E309" t="inlineStr">
        <is>
          <t>虚拟机</t>
        </is>
      </c>
      <c r="F309" t="inlineStr">
        <is>
          <t>虚拟机开关机</t>
        </is>
      </c>
      <c r="G309" t="inlineStr">
        <is>
          <t>根据您的描述“虚拟机重启无法正常启动”，问题定位于虚拟机生命周期管理中的重启操作异常。
您的问题可能属于以下故障之一，请确认：
① **虚拟机-005 虚拟机重启失败**
   判断依据：用户明确描述了“虚拟机重启”动作及“无法正常启动”的结果，直接对应重启失败场景，概率估计 ~90%
③ 以上都不是（请补充症状描述）
请回复 ① 或 ③ 完成确认。</t>
        </is>
      </c>
    </row>
    <row r="310">
      <c r="A310" t="inlineStr">
        <is>
          <t>Q2026032301243</t>
        </is>
      </c>
      <c r="B310" t="inlineStr">
        <is>
          <t>HCI</t>
        </is>
      </c>
      <c r="C310" t="inlineStr"/>
      <c r="D310" t="inlineStr">
        <is>
          <t>偶尔出现虚拟机内部关机，需要分析排查</t>
        </is>
      </c>
      <c r="E310" t="inlineStr">
        <is>
          <t>虚拟机</t>
        </is>
      </c>
      <c r="F310" t="inlineStr">
        <is>
          <t>虚拟机开关机</t>
        </is>
      </c>
      <c r="G310" t="inlineStr"/>
    </row>
    <row r="311">
      <c r="A311" t="inlineStr">
        <is>
          <t>Q2026032301106</t>
        </is>
      </c>
      <c r="B311" t="inlineStr">
        <is>
          <t>HCI</t>
        </is>
      </c>
      <c r="C311" t="inlineStr"/>
      <c r="D311" t="inlineStr">
        <is>
          <t>scp虚拟机打不开，有报错
聚合口删除不了，需要协助</t>
        </is>
      </c>
      <c r="E311" t="inlineStr">
        <is>
          <t>虚拟机</t>
        </is>
      </c>
      <c r="F311" t="inlineStr">
        <is>
          <t>虚拟机开关机</t>
        </is>
      </c>
      <c r="G311" t="inlineStr">
        <is>
          <t>根据您提供的故障描述，系统检测到两个独立的故障现象，分别对应虚拟机域和网络域，请确认您需要优先处理或排查的问题分类：
① 虚拟机-003 虚拟机开机失败
   判断依据：客户描述“scp虚拟机打不开，有报错”，符合虚拟机无法正常启动的故障特征，概率估计 ~50%
② 网络-005 主机网口删除失败（含聚合口/子接口）
   判断依据：客户描述“聚合口删除不了”，明确指向主机聚合口删除操作失败，概率估计 ~50%
③ 以上都不是（请补充症状描述）
请回复 ① ② 或 ③ 完成确认。</t>
        </is>
      </c>
    </row>
    <row r="312">
      <c r="A312" t="inlineStr">
        <is>
          <t>Q2026032300849</t>
        </is>
      </c>
      <c r="B312" t="inlineStr">
        <is>
          <t>HCI</t>
        </is>
      </c>
      <c r="C312" t="inlineStr">
        <is>
          <t>6.10.0_R2</t>
        </is>
      </c>
      <c r="D312" t="inlineStr">
        <is>
          <t>虚拟机重启后有个服务起不来，需要再重启一次虚拟机才能起来；</t>
        </is>
      </c>
      <c r="E312" t="inlineStr">
        <is>
          <t>虚拟机</t>
        </is>
      </c>
      <c r="F312" t="inlineStr">
        <is>
          <t>虚拟机开关机</t>
        </is>
      </c>
      <c r="G312" t="inlineStr">
        <is>
          <t>根据客户描述“虚拟机重启后有个服务起不来”，这表明虚拟机操作系统层面已正常启动，问题聚焦于操作系统内部的应用程序或服务自启动逻辑。依据分类基准，最符合的分类为“虚拟机内部软件使用异常”。
根据 [虚拟机操作系统已启动，但内部业务服务在重启后未能自动运行]，您的问题可能属于以下故障之一，请确认：
① 虚拟机-043 虚拟机内部软件使用异常
   判断依据：客户明确描述“虚拟机重启后有个服务起不来”，指明虚拟机操作系统已完成重启，故障点位于操作系统内部的业务服务层面，概率估计 ~95%
③ 以上都不是（请补充症状描述）
请回复 ① 或 ③ 完成确认。</t>
        </is>
      </c>
    </row>
    <row r="313">
      <c r="A313" t="inlineStr">
        <is>
          <t>Q2026032300516</t>
        </is>
      </c>
      <c r="B313" t="inlineStr">
        <is>
          <t>HCI</t>
        </is>
      </c>
      <c r="C313" t="inlineStr">
        <is>
          <t>6.10.0_R2</t>
        </is>
      </c>
      <c r="D313" t="inlineStr">
        <is>
          <t>虚拟机异常关机 已恢复  需要排查原因</t>
        </is>
      </c>
      <c r="E313" t="inlineStr">
        <is>
          <t>虚拟机</t>
        </is>
      </c>
      <c r="F313" t="inlineStr">
        <is>
          <t>虚拟机开关机</t>
        </is>
      </c>
      <c r="G313" t="inlineStr">
        <is>
          <t>根据客户描述“虚拟机异常关机 已恢复 需要排查原因”，核心问题是虚拟机状态非预期变为关机。由于缺乏具体的告警或日志信息，无法直接判断是宿主机故障、HA 切换还是虚拟机内部关机指令导致，但该现象明确属于虚拟机生命周期管理的范畴。
您的故障可能属于以下分类，请确认：
① **虚拟机-L1 虚拟机**
   判断依据：客户描述“虚拟机异常关机”，这是典型的虚拟机生命周期状态异常。由于未提及具体报错或主机故障现象，优先归入虚拟机域进行通用排查。概率估计 ~90%
③ 以上都不是（请补充具体告警日志或任务失败详情）
请回复 ① 或 ③ 完成确认。</t>
        </is>
      </c>
    </row>
    <row r="314">
      <c r="A314" t="inlineStr">
        <is>
          <t>Q2026032300162</t>
        </is>
      </c>
      <c r="B314" t="inlineStr">
        <is>
          <t>HCI</t>
        </is>
      </c>
      <c r="C314" t="inlineStr">
        <is>
          <t>HCI6.11.1</t>
        </is>
      </c>
      <c r="D314" t="inlineStr">
        <is>
          <t>客户的虚拟机服务起不来，</t>
        </is>
      </c>
      <c r="E314" t="inlineStr">
        <is>
          <t>虚拟机</t>
        </is>
      </c>
      <c r="F314" t="inlineStr">
        <is>
          <t>虚拟机开关机</t>
        </is>
      </c>
      <c r="G314" t="inlineStr">
        <is>
          <t>根据您提供的简短描述“客户的虚拟机服务起不来”，该描述存在一定歧义（可能指虚拟机实体无法开机，也可能指虚拟机内部的业务软件无法启动），经分析，您的问题可能属于以下故障之一，请确认：
① 虚拟机-003 虚拟机开机失败
   判断依据：用户常将“虚拟机无法开机”描述为“服务起不来”，即虚拟机实例本身无法在 HCI 平台上启动，概率估计 ~60%
② 虚拟机-043 虚拟机内部软件使用异常
   判断依据：虚拟机系统已启动，但内部运行业务（如数据库、Web服务等）无法正常启动或运行异常，概率估计 ~35%
③ 以上都不是（请补充症状描述）
请回复 ① ② 或 ③ 完成确认。</t>
        </is>
      </c>
    </row>
    <row r="315">
      <c r="A315" t="inlineStr">
        <is>
          <t>Q2026032300136</t>
        </is>
      </c>
      <c r="B315" t="inlineStr">
        <is>
          <t>HCI</t>
        </is>
      </c>
      <c r="C315" t="inlineStr">
        <is>
          <t>HCI6.11.1</t>
        </is>
      </c>
      <c r="D315" t="inlineStr">
        <is>
          <t xml:space="preserve">scp22号有内部重启虚拟机任务
一直未开机  23早上执行重启也卡住
</t>
        </is>
      </c>
      <c r="E315" t="inlineStr">
        <is>
          <t>虚拟机</t>
        </is>
      </c>
      <c r="F315" t="inlineStr">
        <is>
          <t>虚拟机开关机</t>
        </is>
      </c>
      <c r="G315" t="inlineStr">
        <is>
          <t>根据您的描述，问题集中在虚拟机的生命周期操作（重启、开机）无法完成，且任务呈现卡住状态。
您的故障可能属于以下分类，请确认：
① 虚拟机-005 虚拟机重启失败
   判断依据：客户明确提及“内部重启虚拟机任务”及“执行重启也卡住”，操作动作精准匹配“重启失败”，概率估计 ~60%
② 虚拟机-003 虚拟机开机失败
   判断依据：客户描述“一直未开机”，重启卡住通常会导致虚拟机处于关机或中间状态，最终表现为无法开机，概率估计 ~35%
③ 以上都不是（请补充症状描述）
请回复 ① ② 或 ③ 完成确认。</t>
        </is>
      </c>
    </row>
    <row r="316">
      <c r="A316" t="inlineStr">
        <is>
          <t>Q2026032300106</t>
        </is>
      </c>
      <c r="B316" t="inlineStr">
        <is>
          <t>HCI</t>
        </is>
      </c>
      <c r="C316" t="inlineStr">
        <is>
          <t>6.10.0R2</t>
        </is>
      </c>
      <c r="D316" t="inlineStr">
        <is>
          <t>虚拟机异常重启，查原因</t>
        </is>
      </c>
      <c r="E316" t="inlineStr">
        <is>
          <t>虚拟机</t>
        </is>
      </c>
      <c r="F316" t="inlineStr">
        <is>
          <t>虚拟机开关机</t>
        </is>
      </c>
      <c r="G316" t="inlineStr">
        <is>
          <t>根据您提供的“虚拟机异常重启”症状，这通常涉及高可用机制触发或底层主机故障。请确认以下分类：
① 虚拟机-033 虚拟机异常HA
   判断依据：客户描述“虚拟机异常重启”，在 HCI 平台中，虚拟机无端重启最常见原因为 HA（高可用）机制被误触发或异常触发，导致虚拟机在其他主机重拉起或原地重启，概率估计 ~60%
② 平台-005 主机离线或异常重启
   判断依据：若虚拟机所在物理主机发生异常重启或掉线，会导致该主机上所有虚拟机同时中断并重启，表现为虚拟机异常重启，概率估计 ~30%
③ 以上都不是（请补充症状描述）
请回复 ① ② 或 ③ 完成确认。</t>
        </is>
      </c>
    </row>
    <row r="317">
      <c r="A317" t="inlineStr">
        <is>
          <t>Q2026032200123</t>
        </is>
      </c>
      <c r="B317" t="inlineStr">
        <is>
          <t>HCI</t>
        </is>
      </c>
      <c r="C317" t="inlineStr">
        <is>
          <t>6.0.0_R5</t>
        </is>
      </c>
      <c r="D317" t="inlineStr">
        <is>
          <t>HCI升级后有一台win7的虚拟机开机进不去系统，协助处理。</t>
        </is>
      </c>
      <c r="E317" t="inlineStr">
        <is>
          <t>虚拟机</t>
        </is>
      </c>
      <c r="F317" t="inlineStr">
        <is>
          <t>虚拟机开关机</t>
        </is>
      </c>
      <c r="G317" t="inlineStr">
        <is>
          <t>根据用户描述“HCI升级后有一台win7的虚拟机开机进不去系统”，问题可能属于以下故障之一，请确认：
① 虚拟机-003 虚拟机开机失败
   判断依据：用户提及“开机进不去系统”，核心涉及虚拟机开机动作及最终运行状态异常，优先归类为开机失败，概率估计 ~60%
② 虚拟机-042 虚拟机内部蓝屏
   判断依据：结合“HCI升级后”环境变化及“Win7”系统特性，可能因驱动兼容性或硬件模拟变更导致系统启动过程中蓝屏，概率估计 ~35%
③ 以上都不是（请补充症状描述）
请回复 ① ② 或 ③ 完成确认。</t>
        </is>
      </c>
    </row>
    <row r="318">
      <c r="A318" t="inlineStr">
        <is>
          <t>Q2026032200105</t>
        </is>
      </c>
      <c r="B318" t="inlineStr">
        <is>
          <t>HCI</t>
        </is>
      </c>
      <c r="C318" t="inlineStr">
        <is>
          <t>HCI6.10.0_R2</t>
        </is>
      </c>
      <c r="D318" t="inlineStr">
        <is>
          <t>机房断电后，来电后有一台虚拟机无法启动，一直在尝试HA</t>
        </is>
      </c>
      <c r="E318" t="inlineStr">
        <is>
          <t>虚拟机</t>
        </is>
      </c>
      <c r="F318" t="inlineStr">
        <is>
          <t>虚拟机开关机</t>
        </is>
      </c>
      <c r="G318" t="inlineStr">
        <is>
          <t>根据故障现象“断电恢复后虚拟机无法启动且持续尝试HA”，该问题核心在于高可用机制未能成功恢复业务，符合 HA 机制未达预期的特征。请确认以下分类：
① 虚拟机-032 虚拟机HA不达预期
   判断依据：客户描述“一直在尝试HA”表明 HA 机制已触发但未能成功拉起虚拟机，属于 HA 流程执行未达预期结果，概率估计 ~70%
② 虚拟机-003 虚拟机开机失败
   判断依据：客户描述“无法启动”，HA 尝试本质是反复执行开机动作，最终现象为开机失败，概率估计 ~25%
③ 以上都不是（请补充症状描述）
请回复 ① ② 或 ③ 完成确认。</t>
        </is>
      </c>
    </row>
    <row r="319">
      <c r="A319" t="inlineStr">
        <is>
          <t>Q2026032200055</t>
        </is>
      </c>
      <c r="B319" t="inlineStr">
        <is>
          <t>HCI</t>
        </is>
      </c>
      <c r="C319" t="inlineStr">
        <is>
          <t>5.8.8</t>
        </is>
      </c>
      <c r="D319" t="inlineStr">
        <is>
          <t>单台widnows核心业务虚拟机进不去系统，协助处理</t>
        </is>
      </c>
      <c r="E319" t="inlineStr">
        <is>
          <t>虚拟机</t>
        </is>
      </c>
      <c r="F319" t="inlineStr">
        <is>
          <t>虚拟机开关机</t>
        </is>
      </c>
      <c r="G319" t="inlineStr">
        <is>
          <t>根据客户描述“单台windows核心业务虚拟机进不去系统”，通常表现为操作系统崩溃（蓝屏）、启动卡死或虚拟机无法正常开机。在缺乏具体告警日志的情况下，最可能的故障分类如下：
① 虚拟机-042 虚拟机内部蓝屏
   判断依据：Windows系统无法进入最典型的症状是系统崩溃蓝屏（BSOD），用户通常描述为“进不去系统”，概率估计 ~50%
② 虚拟机-003 虚拟机开机失败
   判断依据：虚拟机无法正常启动（卡在启动阶段或报错关闭），也会导致用户无法进入系统，概率估计 ~40%
③ 以上都不是（请补充症状描述）
请回复 ① ② 或 ③ 完成确认。</t>
        </is>
      </c>
    </row>
    <row r="320">
      <c r="A320" t="inlineStr">
        <is>
          <t>Q2026032200022</t>
        </is>
      </c>
      <c r="B320" t="inlineStr">
        <is>
          <t>HCI</t>
        </is>
      </c>
      <c r="C320" t="inlineStr">
        <is>
          <t>6.10.0_R2</t>
        </is>
      </c>
      <c r="D320" t="inlineStr">
        <is>
          <t>虚拟机（win100061_zhaochenbo）早上8.20卡死，手动重启恢复，需要协助排查原因</t>
        </is>
      </c>
      <c r="E320" t="inlineStr">
        <is>
          <t>虚拟机</t>
        </is>
      </c>
      <c r="F320" t="inlineStr">
        <is>
          <t>虚拟机开关机</t>
        </is>
      </c>
      <c r="G320" t="inlineStr">
        <is>
          <t>根据用户描述“虚拟机卡死，手动重启恢复”，您的问题可能属于以下故障之一，请确认：
① 虚拟机-039 虚拟机卡死无响应
   判断依据：客户直接描述虚拟机“卡死”，且需要手动重启才能恢复业务，符合虚拟机进程无响应或内部死机特征，概率估计 ~90%
③ 以上都不是（请补充症状描述）
请回复 ① 或 ③ 完成确认。</t>
        </is>
      </c>
    </row>
    <row r="321">
      <c r="A321" t="inlineStr">
        <is>
          <t>Q2026032100029</t>
        </is>
      </c>
      <c r="B321" t="inlineStr">
        <is>
          <t>HCI</t>
        </is>
      </c>
      <c r="C321" t="inlineStr">
        <is>
          <t>6.8.0R1EN</t>
        </is>
      </c>
      <c r="D321" t="inlineStr">
        <is>
          <t>重启了虚拟机，业务异常</t>
        </is>
      </c>
      <c r="E321" t="inlineStr">
        <is>
          <t>虚拟机</t>
        </is>
      </c>
      <c r="F321" t="inlineStr">
        <is>
          <t>虚拟机开关机</t>
        </is>
      </c>
      <c r="G321" t="inlineStr">
        <is>
          <t>根据您提供的信息，故障场景涉及“虚拟机重启”操作后出现“业务异常”。由于“业务异常”描述较为宽泛，可能指代虚拟机本身未启动成功，也可能指代虚拟机内部服务状态异常，建议确认以下分类：
① 虚拟机-005 虚拟机重启失败
   判断依据：用户描述动作“重启了虚拟机”，若平台任务显示重启失败或虚拟机状态未恢复运行，则归为此类，概率估计 ~50%
② 虚拟机-043 虚拟机内部软件使用异常
   判断依据：用户描述结果“业务异常”，若虚拟机已正常开机运行，但内部业务软件无法访问或报错，则归为此类，概率估计 ~40%
③ 以上都不是（请补充症状描述）
请回复 ① ② 或 ③ 完成确认。</t>
        </is>
      </c>
    </row>
    <row r="322">
      <c r="A322" t="inlineStr">
        <is>
          <t>Q2026032001063</t>
        </is>
      </c>
      <c r="B322" t="inlineStr">
        <is>
          <t>HCI</t>
        </is>
      </c>
      <c r="C322" t="inlineStr">
        <is>
          <t>HCI6.10.0_R2</t>
        </is>
      </c>
      <c r="D322" t="inlineStr">
        <is>
          <t>c86集群 部署win11开机卡住  需要协助排查</t>
        </is>
      </c>
      <c r="E322" t="inlineStr">
        <is>
          <t>虚拟机</t>
        </is>
      </c>
      <c r="F322" t="inlineStr">
        <is>
          <t>虚拟机开关机</t>
        </is>
      </c>
      <c r="G322" t="inlineStr">
        <is>
          <t>根据用户描述“c86集群 部署win11开机卡住”，关键信息提取为：虚拟机操作为“开机”，症状为“卡住”（可能指任务卡住或系统启动过程卡住），对象为“Win11虚拟机”。
“开机卡住”在HCI环境中通常有两种表现：
1.  **平台层面**：开机任务长时间未完成，虚拟机状态停留在“正在启动”或“创建中”。这属于**虚拟机开机失败**范畴（含超时/挂起）。
2.  **系统层面**：开机任务成功，虚拟机处于“运行”状态，但控制台界面卡在Windows Logo转圈或黑屏，无法进入桌面。Win11对此尤为敏感，常因GPU/UEFI/TPM配置问题导致。这属于**虚拟机图形化界面启动失败**或**卡死**范畴。
鉴于用户描述简短，无法区分是任务卡死还是系统卡死，提供以下两个最可能的候选分类：
根据关键词“开机”及“卡住”症状，您的问题可能属于以下故障之一，请确认：
① **虚拟机-003 虚拟机开机失败**
   判断依据：用户描述“开机卡住”，通常指在平台执行开机操作时，任务长时间无响应或虚拟机状态无法变为“运行”。概率估计 ~60%
② **虚拟机-040 虚拟机图形化界面启动失败**
   判断依据：特定于“Win11”系统，若开机任务已完成（状态为运行），但控制台卡在启动Logo或黑屏，通常归类于此。概率估计 ~35%
③ 以上都不是（请补充症状描述）
请回复 ① ② 或 ③ 完成确认。</t>
        </is>
      </c>
    </row>
    <row r="323">
      <c r="A323" t="inlineStr">
        <is>
          <t>Q2026032000893</t>
        </is>
      </c>
      <c r="B323" t="inlineStr">
        <is>
          <t>HCI</t>
        </is>
      </c>
      <c r="C323" t="inlineStr">
        <is>
          <t>HCI6.11.1_R1</t>
        </is>
      </c>
      <c r="D323" t="inlineStr">
        <is>
          <t>vcenter虚拟机迁移到HCI之后进不去系统</t>
        </is>
      </c>
      <c r="E323" t="inlineStr">
        <is>
          <t>虚拟机</t>
        </is>
      </c>
      <c r="F323" t="inlineStr">
        <is>
          <t>虚拟机开关机</t>
        </is>
      </c>
      <c r="G323" t="inlineStr">
        <is>
          <t>根据客户描述“vcenter虚拟机迁移到HCI之后进不去系统”，问题核心在于跨平台迁移后的可用性。这直接对应故障分类基准中的VMware迁移场景。
您的问题可能属于以下故障之一，请确认：
① 虚拟机-021 虚拟机vmware纳管迁移失败
   判断依据：客户明确指出“vcenter虚拟机迁移到HCI”这一动作，且迁移后出现“进不去系统”的不可用状态，符合VMware迁移场景下的故障定义，概率估计 ~90%
② 虚拟机-042 虚拟机内部蓝屏
   判断依据：迁移后无法进入系统最常见的具体症状是Windows蓝屏（通常由驱动或引导配置导致），若控制台可见蓝屏界面可归为此类，概率估计 ~10%
③ 以上都不是（请补充症状描述）
请回复 ① ② 或 ③ 完成确认。</t>
        </is>
      </c>
    </row>
    <row r="324">
      <c r="A324" t="inlineStr">
        <is>
          <t>Q2026032000683</t>
        </is>
      </c>
      <c r="B324" t="inlineStr">
        <is>
          <t>HCI</t>
        </is>
      </c>
      <c r="C324" t="inlineStr"/>
      <c r="D324" t="inlineStr">
        <is>
          <t>虚拟机启动报错镜像忙</t>
        </is>
      </c>
      <c r="E324" t="inlineStr">
        <is>
          <t>虚拟机</t>
        </is>
      </c>
      <c r="F324" t="inlineStr">
        <is>
          <t>虚拟机开关机</t>
        </is>
      </c>
      <c r="G324" t="inlineStr">
        <is>
          <t>根据用户描述“虚拟机启动报错镜像忙”，该故障直接对应虚拟机开机过程中的异常阻塞。
根据 [故障现象直接匹配]，您的问题可能属于以下故障之一，请确认：
① 虚拟机-003 虚拟机开机失败
   判断依据：用户描述“虚拟机启动报错”，明确指向开机操作未成功；“镜像忙”通常意味着磁盘文件被占用或锁未释放，导致开机流程无法获取资源，属于开机失败的典型子类，概率估计 ~95%
③ 以上都不是（请补充症状描述）
请回复 ① 或 ③ 完成确认。</t>
        </is>
      </c>
    </row>
    <row r="325">
      <c r="A325" t="inlineStr">
        <is>
          <t>Q2026032000098</t>
        </is>
      </c>
      <c r="B325" t="inlineStr">
        <is>
          <t>HCI</t>
        </is>
      </c>
      <c r="C325" t="inlineStr"/>
      <c r="D325" t="inlineStr">
        <is>
          <t>HCI，下电了很多台，走了数据同步 没有走数据同步，所有虚拟机都无法启动，目前让客户先把服务器都开起来，需要协助保障一下</t>
        </is>
      </c>
      <c r="E325" t="inlineStr">
        <is>
          <t>虚拟机</t>
        </is>
      </c>
      <c r="F325" t="inlineStr">
        <is>
          <t>虚拟机开关机</t>
        </is>
      </c>
      <c r="G325" t="inlineStr">
        <is>
          <t>根据客户描述“所有虚拟机都无法启动”及“下电、数据同步状态不明”的背景，核心故障现象为虚拟机开机异常，且极大概率涉及存储数据一致性或仲裁问题。
① 虚拟机-003 虚拟机开机失败
   判断依据：客户明确描述“所有虚拟机都无法启动”，这是最直接的故障表象，概率估计 ~50%
② 存储-009 数据副本失控或脑裂
   判断依据：客户提及“下电了很多台”、“没有走数据同步”，这种非正常大规模下电极易导致分布式存储仲裁丢失或数据副本不一致，进而引发存储不可访问导致 VM 无法启动，概率估计 ~45%
③ 以上都不是（请补充症状描述）
请回复 ① ② 或 ③ 完成确认。</t>
        </is>
      </c>
    </row>
    <row r="326">
      <c r="A326" t="inlineStr">
        <is>
          <t>Q2026032000026</t>
        </is>
      </c>
      <c r="B326" t="inlineStr">
        <is>
          <t>HCI</t>
        </is>
      </c>
      <c r="C326" t="inlineStr">
        <is>
          <t>HCI6.10.0_R2</t>
        </is>
      </c>
      <c r="D326" t="inlineStr">
        <is>
          <t>重启后linux虚拟机无法启动</t>
        </is>
      </c>
      <c r="E326" t="inlineStr">
        <is>
          <t>虚拟机</t>
        </is>
      </c>
      <c r="F326" t="inlineStr">
        <is>
          <t>虚拟机开关机</t>
        </is>
      </c>
      <c r="G326" t="inlineStr">
        <is>
          <t>根据用户描述“重启后linux虚拟机无法启动”，核心症状为虚拟机无法进入运行状态，且触发场景为重启操作。问题定位在虚拟机生命周期管理，可能属于以下故障之一：
① 虚拟机-003 虚拟机开机失败
   判断依据：用户描述“无法启动”直接对应虚拟机无法正常加电运行的症状，是最通用的故障分类，概率估计 ~60%
② 虚拟机-005 虚拟机重启失败
   判断依据：用户明确提到故障发生在“重启后”，若涉及重启任务卡死或重启流程异常导致无法恢复运行，则归为此类，概率估计 ~35%
③ 以上都不是（请补充症状描述）
请回复 ① ② 或 ③ 完成确认。</t>
        </is>
      </c>
    </row>
    <row r="327">
      <c r="A327" t="inlineStr">
        <is>
          <t>Q2026031901138</t>
        </is>
      </c>
      <c r="B327" t="inlineStr">
        <is>
          <t>HCI</t>
        </is>
      </c>
      <c r="C327" t="inlineStr"/>
      <c r="D327" t="inlineStr">
        <is>
          <t>1、二合一的桌面云，不定时会有虚拟机卡死，需要在HCI上重启虚拟机恢复
2、HCI告警备份空间不足</t>
        </is>
      </c>
      <c r="E327" t="inlineStr">
        <is>
          <t>虚拟机</t>
        </is>
      </c>
      <c r="F327" t="inlineStr">
        <is>
          <t>虚拟机开关机</t>
        </is>
      </c>
      <c r="G327" t="inlineStr">
        <is>
          <t>根据客户描述中明确的“虚拟机卡死需重启恢复”以及“备份空间不足告警”两个独立现象，经分析，可能涉及以下故障分类，请确认：
① 虚拟机-039 虚拟机卡死无响应
   判断依据：客户描述“不定时会有虚拟机卡死，需要在HCI上重启虚拟机恢复”，符合虚拟机运行异常导致服务中断需强制重启的特征，概率估计 ~90%
② 存储-018 虚拟存储空间不足或满或高
   判断依据：客户描述“HCI告警备份空间不足”，直接对应存储资源类告警，概率估计 ~85%
③ 以上都不是（请补充症状描述）
请回复 ① ② 或 ③ 完成确认。</t>
        </is>
      </c>
    </row>
    <row r="328">
      <c r="A328" t="inlineStr">
        <is>
          <t>Q2026031900852</t>
        </is>
      </c>
      <c r="B328" t="inlineStr">
        <is>
          <t>HCI</t>
        </is>
      </c>
      <c r="C328" t="inlineStr">
        <is>
          <t>6.11.1</t>
        </is>
      </c>
      <c r="D328" t="inlineStr">
        <is>
          <t>虚拟机开机之后进不去系统</t>
        </is>
      </c>
      <c r="E328" t="inlineStr">
        <is>
          <t>虚拟机</t>
        </is>
      </c>
      <c r="F328" t="inlineStr">
        <is>
          <t>虚拟机开关机</t>
        </is>
      </c>
      <c r="G328" t="inlineStr">
        <is>
          <t>根据您的描述“虚拟机开机之后进不去系统”，这表明虚拟机开机流程可能已触发或完成，但操作系统未能正常加载。该现象通常对应控制台显示异常或系统卡死。
您的问题可能属于以下故障之一，请确认：
① **虚拟机-041 虚拟机内部黑屏**
   判断依据：用户描述“进不去系统”，在虚拟机开机后最常见表现为控制台黑屏、无输出或卡在 BIOS 自检界面，概率估计 ~60%
② **虚拟机-039 虚拟机卡死无响应**
   判断依据：虚拟机开机进程可能已启动，但系统内核卡死或进程挂起，导致无法进入系统界面，概率估计 ~30%
③ 以上都不是（请补充症状描述，如是否有蓝屏、报错信息或进度条卡住等）
请回复 ① ② 或 ③ 完成确认。</t>
        </is>
      </c>
    </row>
    <row r="329">
      <c r="A329" t="inlineStr">
        <is>
          <t>Q2026031900599</t>
        </is>
      </c>
      <c r="B329" t="inlineStr">
        <is>
          <t>HCI</t>
        </is>
      </c>
      <c r="C329" t="inlineStr">
        <is>
          <t>HCI6.1.0</t>
        </is>
      </c>
      <c r="D329">
        <f>===海外工单信息====
    海外工单ID：20260314860025
    事件等级：Priority4
    产品线：HCI::6.1.0
====客户信息====
    客户ID：1454
    客户MDM ID：null
    客户名称：KEMENTERIAN KEMAJUAN DESA DAN WILAYAH (KKDW)
    客户区域：Malaysia
    客户类型：
====工单信息====
设备部署模式：HCI 6.1.0
客户背景： 马来西亚 - KKDW
问题现象：虚拟机内部重启原因排查
排查过程：
发现是NFS 内存泄漏，研发协助重启服务
重要备注：
是否已开群（企微）：是
企微群名：【马来/乡村及区域发展部 KKDW】 - 虚拟机内部重启确认根因</f>
        <v/>
      </c>
      <c r="E329" t="inlineStr">
        <is>
          <t>虚拟机</t>
        </is>
      </c>
      <c r="F329" t="inlineStr">
        <is>
          <t>虚拟机开关机</t>
        </is>
      </c>
      <c r="G329" t="inlineStr">
        <is>
          <t>根据当前工单信息，客户描述为空，无法提取有效的故障特征或告警数据进行精准匹配。为推进诊断流程，将为您列举最高频的通用域分类以供确认：
① 虚拟机-L1 虚拟机
   判断依据：描述为空，虚拟机域为最高频故障场景（含开关机、卡慢等），作为首选排查方向，概率估计 ~40%
② 平台-L1 平台
   判断依据：描述为空，平台域包含主机离线、升级、授权等基础故障，作为次选排查方向，概率估计 ~30%
③ 以上都不是（请补充症状描述）
请回复 ① ② 或 ③ 完成确认。</t>
        </is>
      </c>
    </row>
    <row r="330">
      <c r="A330" t="inlineStr">
        <is>
          <t>Q2026031900491</t>
        </is>
      </c>
      <c r="B330" t="inlineStr">
        <is>
          <t>HCI</t>
        </is>
      </c>
      <c r="C330" t="inlineStr">
        <is>
          <t>6.10.0_R2</t>
        </is>
      </c>
      <c r="D330" t="inlineStr">
        <is>
          <t>备份过程中重启了虚拟机，导致虚拟机状态和备份状态现在都不对，影响数据库业务，核心业务</t>
        </is>
      </c>
      <c r="E330" t="inlineStr">
        <is>
          <t>虚拟机</t>
        </is>
      </c>
      <c r="F330" t="inlineStr">
        <is>
          <t>虚拟机开关机</t>
        </is>
      </c>
      <c r="G330" t="inlineStr">
        <is>
          <t>根据客户描述“备份过程中重启虚拟机”导致“虚拟机状态和备份状态异常”，这通常会导致备份任务非正常中断，并可能引发快照残留或虚拟机锁死。
根据故障模式匹配，您的问题可能属于以下故障之一，请确认：
① 虚拟机-027 虚拟机备份创建失败
   判断依据：客户明确提到“备份过程中重启了虚拟机”且“备份状态现在都不对”，表明备份任务被异常中断导致失败，概率估计 ~60%
② 虚拟机-025 虚拟机快照合并或删除失败
   判断依据：备份通常依赖快照技术，强制重启可能导致快照未能正常合并或删除，进而导致“虚拟机状态不对”及业务卡慢，概率估计 ~35%
③ 以上都不是（请补充症状描述）
请回复 ① ② 或 ③ 完成确认。</t>
        </is>
      </c>
    </row>
    <row r="331">
      <c r="A331" t="inlineStr">
        <is>
          <t>Q2026031900377</t>
        </is>
      </c>
      <c r="B331" t="inlineStr">
        <is>
          <t>HCI</t>
        </is>
      </c>
      <c r="C331" t="inlineStr">
        <is>
          <t>6.10.0_R2</t>
        </is>
      </c>
      <c r="D331" t="inlineStr">
        <is>
          <t>虚拟机开机提示计算内存不足，看剩余可配置内存还是足够的</t>
        </is>
      </c>
      <c r="E331" t="inlineStr">
        <is>
          <t>虚拟机</t>
        </is>
      </c>
      <c r="F331" t="inlineStr">
        <is>
          <t>虚拟机开关机</t>
        </is>
      </c>
      <c r="G331" t="inlineStr">
        <is>
          <t>根据您提供的故障现象“虚拟机开机提示计算内存不足，但剩余可配置内存看似充足”，该问题最符合虚拟机生命周期管理中的启动失败场景。
请确认以下分类：
① 虚拟机-003 虚拟机开机失败
   判断依据：用户明确描述“虚拟机开机”动作失败，且报错提示“计算内存不足”，属于典型的虚拟机启动资源校验异常，概率估计 ~95%
③ 以上都不是（请补充症状描述）
请回复 ① 或 ③ 完成确认。</t>
        </is>
      </c>
    </row>
    <row r="332">
      <c r="A332" t="inlineStr">
        <is>
          <t>Q2026031801606</t>
        </is>
      </c>
      <c r="B332" t="inlineStr">
        <is>
          <t>HCI</t>
        </is>
      </c>
      <c r="C332" t="inlineStr"/>
      <c r="D332" t="inlineStr">
        <is>
          <t>虚拟机日志提示关闭虚拟机超时，日志显示是HCI主机触发的关机，需要协助排查原因</t>
        </is>
      </c>
      <c r="E332" t="inlineStr">
        <is>
          <t>虚拟机</t>
        </is>
      </c>
      <c r="F332" t="inlineStr">
        <is>
          <t>虚拟机开关机</t>
        </is>
      </c>
      <c r="G332" t="inlineStr">
        <is>
          <t>根据您提供的故障现象，核心关键词为“关闭虚拟机超时”及“HCI主机触发的关机”，这直接指向虚拟机的生命周期管理操作异常。
请您确认以下故障分类：
① 虚拟机-004 虚拟机关机失败
   判断依据：日志明确提示“关闭虚拟机超时”，属于虚拟机关机任务未在预期时间内完成，概率估计 ~95%
③ 以上都不是（请补充症状描述）
请回复 ① 或 ③ 完成确认。</t>
        </is>
      </c>
    </row>
    <row r="333">
      <c r="A333" t="inlineStr">
        <is>
          <t>Q2026031801093</t>
        </is>
      </c>
      <c r="B333" t="inlineStr">
        <is>
          <t>HCI</t>
        </is>
      </c>
      <c r="C333" t="inlineStr"/>
      <c r="D333" t="inlineStr">
        <is>
          <t>虚拟机异常重启 之前有过多次  需要排查下原因</t>
        </is>
      </c>
      <c r="E333" t="inlineStr">
        <is>
          <t>虚拟机</t>
        </is>
      </c>
      <c r="F333" t="inlineStr">
        <is>
          <t>虚拟机开关机</t>
        </is>
      </c>
      <c r="G333" t="inlineStr">
        <is>
          <t>根据客户描述的“虚拟机异常重启”且“之前有过多次”，这通常指向虚拟机的高可用（HA）机制被触发或物理主机发生故障。结合HCI运维经验，异常重启主要分为虚拟机自身触发的HA重启和宿主机故障导致的批量重启。
根据症状分析，您的问题可能属于以下故障之一，请确认：
① **虚拟机-033 虚拟机异常HA**
   判断依据：虚拟机频繁出现非人为操作的重启，通常是因为集群HA机制监测到虚拟机“卡死”或宿主机状态异常后自动拉起，符合“异常重启”的典型特征，概率估计 ~70%
② **平台-005 主机离线或异常重启**
   判断依据：若宿主机发生异常重启或由于网络抖动导致脑裂，其上运行的虚拟机会伴随业务中断并自动重启，需排查底层主机状态，概率估计 ~25%
③ 以上都不是（请补充症状描述）
请回复 ① ② 或 ③ 完成确认。</t>
        </is>
      </c>
    </row>
    <row r="334">
      <c r="A334" t="inlineStr">
        <is>
          <t>Q2026031800806</t>
        </is>
      </c>
      <c r="B334" t="inlineStr">
        <is>
          <t>HCI</t>
        </is>
      </c>
      <c r="C334" t="inlineStr"/>
      <c r="D334" t="inlineStr">
        <is>
          <t>客户超融合得有一个客户突然无法启动进入系统，使用备份恢复以后也无法启动</t>
        </is>
      </c>
      <c r="E334" t="inlineStr">
        <is>
          <t>虚拟机</t>
        </is>
      </c>
      <c r="F334" t="inlineStr">
        <is>
          <t>虚拟机开关机</t>
        </is>
      </c>
      <c r="G334" t="inlineStr">
        <is>
          <t>根据客户描述“虚拟机无法启动进入系统”以及“使用备份恢复以后也无法启动”的现象，该问题可能属于以下故障分类，请确认：
① 虚拟机-003 虚拟机开机失败
   判断依据：核心症状为虚拟机“无法启动进入系统”，涵盖了开机无反应、卡在启动阶段等多种情况，概率估计 ~60%
② 虚拟机-029 虚拟机备份恢复失败
   判断依据：用户明确提及“使用备份恢复以后也无法启动”，说明备份恢复操作未能修复虚拟机状态，可能涉及备份文件损坏或恢复机制问题，概率估计 ~35%
③ 以上都不是（请补充症状描述）
请回复 ① ② 或 ③ 完成确认。</t>
        </is>
      </c>
    </row>
    <row r="335">
      <c r="A335" t="inlineStr">
        <is>
          <t>Q2026031800270</t>
        </is>
      </c>
      <c r="B335" t="inlineStr">
        <is>
          <t>HCI</t>
        </is>
      </c>
      <c r="C335" t="inlineStr"/>
      <c r="D335" t="inlineStr">
        <is>
          <t>有一台虚拟机故障重启，控制台显示打开失败，显示错误</t>
        </is>
      </c>
      <c r="E335" t="inlineStr">
        <is>
          <t>虚拟机</t>
        </is>
      </c>
      <c r="F335" t="inlineStr">
        <is>
          <t>虚拟机开关机</t>
        </is>
      </c>
      <c r="G335" t="inlineStr">
        <is>
          <t>根据您提供的工单信息，虚拟机出现“故障重启”且“控制台显示打开失败，显示错误”，这通常意味着虚拟机在尝试恢复或启动过程中遇到了阻碍，或者处于异常的中间状态。
结合故障分类基准，该问题可能属于以下故障之一，请确认：
① **虚拟机-003 虚拟机开机失败**
   判断依据：客户描述“控制台显示打开失败，显示错误”，通常表明虚拟机进程未正常运行或启动任务失败，导致无法连接控制台，概率估计 ~60%
② **虚拟机-033 虚拟机异常HA**
   判断依据：客户描述“故障重启”，暗示可能触发了虚拟机高可用（HA）机制或异常重启流程，HA 过程中可能因资源不足或其他原因导致最终状态异常，概率估计 ~30%
③ 以上都不是（请补充症状描述）
请回复 ① ② 或 ③ 完成确认。</t>
        </is>
      </c>
    </row>
    <row r="336">
      <c r="A336" t="inlineStr">
        <is>
          <t>Q2026031800056</t>
        </is>
      </c>
      <c r="B336" t="inlineStr">
        <is>
          <t>HCI</t>
        </is>
      </c>
      <c r="C336" t="inlineStr">
        <is>
          <t>6.10.0_R1</t>
        </is>
      </c>
      <c r="D336" t="inlineStr">
        <is>
          <t>反馈双电源断电了一个电源，虚拟机关机了，没有对应日志，需要排查原因</t>
        </is>
      </c>
      <c r="E336" t="inlineStr">
        <is>
          <t>虚拟机</t>
        </is>
      </c>
      <c r="F336" t="inlineStr">
        <is>
          <t>虚拟机开关机</t>
        </is>
      </c>
      <c r="G336" t="inlineStr">
        <is>
          <t>根据客户描述“双电源断电了一个电源，虚拟机关机了”，这表明电源冗余机制未生效或负载分配异常，导致主机掉电重启，进而引发虚拟机状态丢失（关机）。
根据 [故障现象与电源冗余失效特征的匹配]，您的问题可能属于以下故障之一，请确认：
① 平台-005 主机离线或异常重启
   判断依据：双电源环境下断电单路电源理论上不应影响业务，若导致虚拟机“关机”，极大概率是主机因电源波动或配置问题发生了异常重启/掉电，概率估计 ~85%
② 虚拟机-032 虚拟机HA不达预期
   判断依据：若主机确实发生了重启，虚拟机应通过 HA 机制自动恢复，现状为“虚拟机关机了”可能意味着 HA 机制未生效或未配置，概率估计 ~15%
③ 以上都不是（请补充症状描述）
请回复 ① ② 或 ③ 完成确认。</t>
        </is>
      </c>
    </row>
    <row r="337">
      <c r="A337" t="inlineStr">
        <is>
          <t>Q2026031701260</t>
        </is>
      </c>
      <c r="B337" t="inlineStr">
        <is>
          <t>HCI</t>
        </is>
      </c>
      <c r="C337" t="inlineStr">
        <is>
          <t>6.8.0_R1</t>
        </is>
      </c>
      <c r="D337" t="inlineStr">
        <is>
          <t>有两台server虚拟机自动重启，协助排查原因</t>
        </is>
      </c>
      <c r="E337" t="inlineStr">
        <is>
          <t>虚拟机</t>
        </is>
      </c>
      <c r="F337" t="inlineStr">
        <is>
          <t>虚拟机开关机</t>
        </is>
      </c>
      <c r="G337" t="inlineStr">
        <is>
          <t>根据客户描述“两台server虚拟机自动重启”，这通常涉及平台高可用机制触发或底层主机故障。问题可能属于以下故障分类，请确认：
① 虚拟机-033 虚拟机异常HA
   判断依据：虚拟机非人为预期地自动重启，最常见原因为平台HA机制被触发（如宿主机故障、心跳丢失或虚拟机进程崩溃后自动拉起），概率估计 ~60%
② 平台-005 主机离线或异常重启
   判断依据：若宿主机发生异常重启或掉电，会导致该主机上的所有虚拟机自动重启并在其他节点重建，概率估计 ~30%
③ 以上都不是（请补充症状描述）
请回复 ① ② 或 ③ 完成确认。</t>
        </is>
      </c>
    </row>
    <row r="338">
      <c r="A338" t="inlineStr">
        <is>
          <t>Q2026031701027</t>
        </is>
      </c>
      <c r="B338" t="inlineStr">
        <is>
          <t>HCI</t>
        </is>
      </c>
      <c r="C338" t="inlineStr"/>
      <c r="D338" t="inlineStr">
        <is>
          <t>6.11.0有个open欧拉系统无法正常启动</t>
        </is>
      </c>
      <c r="E338" t="inlineStr">
        <is>
          <t>虚拟机</t>
        </is>
      </c>
      <c r="F338" t="inlineStr">
        <is>
          <t>虚拟机开关机</t>
        </is>
      </c>
      <c r="G338" t="inlineStr">
        <is>
          <t>根据用户描述“open欧拉系统无法正常启动”，关键词“无法正常启动”直接对应虚拟机的开机/启动阶段问题。
您的问题可能属于以下故障之一，请确认：
① 虚拟机-003 虚拟机开机失败
   判断依据：客户明确描述虚拟机系统"无法正常启动"，这是开机失败最典型的表象描述，概率估计 ~85%
② 虚拟机-041 虚拟机内部黑屏
   判断依据：若虚拟机开机动作执行了，但系统未加载成功导致无显示，客户常表述为无法启动，概率估计 ~15%
③ 以上都不是（请补充症状描述）
请回复 ① ② 或 ③ 完成确认。</t>
        </is>
      </c>
    </row>
    <row r="339">
      <c r="A339" t="inlineStr">
        <is>
          <t>Q2026031601693</t>
        </is>
      </c>
      <c r="B339" t="inlineStr">
        <is>
          <t>HCI</t>
        </is>
      </c>
      <c r="C339" t="inlineStr"/>
      <c r="D339" t="inlineStr">
        <is>
          <t>【服务升级】：服务商通过数字化服务平台发起服务升级，请尽快联系服务商处理！&lt;br&gt;【工单描述】：迁移完成后，无法启动，需要协助排查</t>
        </is>
      </c>
      <c r="E339" t="inlineStr">
        <is>
          <t>虚拟机</t>
        </is>
      </c>
      <c r="F339" t="inlineStr">
        <is>
          <t>虚拟机开关机</t>
        </is>
      </c>
      <c r="G339" t="inlineStr">
        <is>
          <t>根据用户描述“迁移完成后，无法启动”，核心故障表现为虚拟机开机操作未成功。虽然前置操作为“迁移”，但当前直接症状为“启动失败”，故首选分类为虚拟机开机失败。
根据故障特征分析，您的问题可能属于以下故障之一，请确认：
① **虚拟机-003 虚拟机开机失败**
   判断依据：用户明确描述“无法启动”，属于虚拟机生命周期管理中的典型开机故障，概率估计 ~90%
② **虚拟机-L2-虚拟机集群内或跨集群迁移失败**
   判断依据：故障发生在“迁移完成后”，可能因迁移过程数据损坏或配置残留导致业务虚拟机不可用，概率估计 ~10%
③ 以上都不是（请补充症状描述）
请回复 ① ② 或 ③ 完成确认。</t>
        </is>
      </c>
    </row>
    <row r="340">
      <c r="A340" t="inlineStr">
        <is>
          <t>Q2026031601581</t>
        </is>
      </c>
      <c r="B340" t="inlineStr">
        <is>
          <t>HCI</t>
        </is>
      </c>
      <c r="C340" t="inlineStr"/>
      <c r="D340" t="inlineStr">
        <is>
          <t>虚拟机自动关机查原因</t>
        </is>
      </c>
      <c r="E340" t="inlineStr">
        <is>
          <t>虚拟机</t>
        </is>
      </c>
      <c r="F340" t="inlineStr">
        <is>
          <t>虚拟机开关机</t>
        </is>
      </c>
      <c r="G340" t="inlineStr">
        <is>
          <t>根据客户描述“虚拟机自动关机查原因”，这通常涉及虚拟机状态异常或宿主机故障导致的联锁反应。由于缺乏具体日志，需区分是虚拟机内部触发关机还是物理主机故障导致。
根据分析，您的问题可能属于以下故障之一，请确认：
① 虚拟机-L1 虚拟机
   判断依据：虚拟机出现非预期的自动关机，可能由虚拟机内部操作系统发起关机指令（如补丁更新）、业务程序异常或虚拟机运行状态异常导致，需优先排查虚拟机任务日志和内部系统日志，概率估计 ~60%
② 平台-005 主机离线或异常重启
   判断依据：若虚拟机所在的物理主机发生异常重启、掉电或离线，会导致在该主机上运行的虚拟机状态变为关机，需结合平台告警判断是否存在主机故障，概率估计 ~35%
③ 以上都不是（请补充症状描述）
请回复 ① ② 或 ③ 完成确认。</t>
        </is>
      </c>
    </row>
    <row r="341">
      <c r="A341" t="inlineStr">
        <is>
          <t>Q2026031601522</t>
        </is>
      </c>
      <c r="B341" t="inlineStr">
        <is>
          <t>HCI</t>
        </is>
      </c>
      <c r="C341" t="inlineStr">
        <is>
          <t>HCI6.10.0_R2</t>
        </is>
      </c>
      <c r="D341" t="inlineStr">
        <is>
          <t>虚拟机开机进不去系统</t>
        </is>
      </c>
      <c r="E341" t="inlineStr">
        <is>
          <t>虚拟机</t>
        </is>
      </c>
      <c r="F341" t="inlineStr">
        <is>
          <t>虚拟机开关机</t>
        </is>
      </c>
      <c r="G341" t="inlineStr">
        <is>
          <t>根据您提供的故障现象“虚拟机开机进不去系统”，这通常指向两种情况：一是平台层开机任务执行失败（虚拟机无法运行），二是虚拟机已运行但操作系统引导异常（黑屏/蓝屏）。我已为您锁定以下两个最可能的故障分类：
① 虚拟机-003 虚拟机开机失败
   判断依据：若点击开机后任务报错、进度卡住或虚拟机状态始终未变为“运行中”，通常属于平台层资源调度、存储挂载或授权问题，概率估计 ~50%
② 虚拟机-041 虚拟机内部黑屏
   判断依据：若虚拟机状态已显示为“运行中”，但控制台打开后黑屏、卡在BIOS界面或无法进入操作系统，属于系统引导或显示问题，概率估计 ~45%
③ 以上都不是（请补充症状描述）
请回复 ① ② 或 ③ 完成确认。</t>
        </is>
      </c>
    </row>
    <row r="342">
      <c r="A342" t="inlineStr">
        <is>
          <t>Q2026031601367</t>
        </is>
      </c>
      <c r="B342" t="inlineStr">
        <is>
          <t>HCI</t>
        </is>
      </c>
      <c r="C342" t="inlineStr">
        <is>
          <t>HCI6.10.0_R2</t>
        </is>
      </c>
      <c r="D342" t="inlineStr">
        <is>
          <t>3D虚拟机全部重启了，开机很慢需要协助处理</t>
        </is>
      </c>
      <c r="E342" t="inlineStr">
        <is>
          <t>虚拟机</t>
        </is>
      </c>
      <c r="F342" t="inlineStr">
        <is>
          <t>虚拟机开关机</t>
        </is>
      </c>
      <c r="G342" t="inlineStr"/>
    </row>
    <row r="343">
      <c r="A343" t="inlineStr">
        <is>
          <t>Q2026031601245</t>
        </is>
      </c>
      <c r="B343" t="inlineStr">
        <is>
          <t>HCI</t>
        </is>
      </c>
      <c r="C343" t="inlineStr">
        <is>
          <t>HCI6.10.0_R2</t>
        </is>
      </c>
      <c r="D343" t="inlineStr">
        <is>
          <t>虚拟机自动重启</t>
        </is>
      </c>
      <c r="E343" t="inlineStr">
        <is>
          <t>虚拟机</t>
        </is>
      </c>
      <c r="F343" t="inlineStr">
        <is>
          <t>虚拟机开关机</t>
        </is>
      </c>
      <c r="G343" t="inlineStr">
        <is>
          <t>根据关键词“虚拟机自动重启”，此现象通常由平台高可用机制触发或虚拟机内部系统故障导致，可能属于以下故障之一，请确认：
① 虚拟机-033 虚拟机异常HA
   判断依据：虚拟机非人为操作自动重启，通常为平台检测到宿主机故障或虚拟机进程异常后触发了 HA 高可用保护机制，概率估计 ~70%
② 虚拟机-042 虚拟机内部蓝屏
   判断依据：若虚拟机内部 Windows 系统蓝屏配置了自动重启，用户表现为虚拟机自动重启，需结合控制台截图或串口日志确认，概率估计 ~20%
③ 以上都不是（请补充症状描述）
请回复 ① ② 或 ③ 完成确认。</t>
        </is>
      </c>
    </row>
    <row r="344">
      <c r="A344" t="inlineStr">
        <is>
          <t>Q2026031600171</t>
        </is>
      </c>
      <c r="B344" t="inlineStr">
        <is>
          <t>HCI</t>
        </is>
      </c>
      <c r="C344" t="inlineStr">
        <is>
          <t>HCI6.10.0_R2</t>
        </is>
      </c>
      <c r="D344" t="inlineStr">
        <is>
          <t>【服务升级】：服务商通过数字化服务平台发起服务升级，请尽快联系服务商处理！&lt;br&gt;【工单描述】：hci业务虚拟机经常重启</t>
        </is>
      </c>
      <c r="E344" t="inlineStr">
        <is>
          <t>虚拟机</t>
        </is>
      </c>
      <c r="F344" t="inlineStr">
        <is>
          <t>虚拟机开关机</t>
        </is>
      </c>
      <c r="G344" t="inlineStr">
        <is>
          <t>根据客户描述“hci业务虚拟机经常重启”，该现象通常指虚拟机非预期的反复重引导。主要可能性包括平台侧的高可用（HA）机制被误触发或异常触发，或虚拟机内部系统崩溃（如蓝屏）导致的自动重启。
请确认故障分类：
① 虚拟机-033 虚拟机异常HA
   判断依据：虚拟机“经常重启”在HCI平台中最常见原因为HA（高可用）机制被异常触发，如心跳超时、存储闪断导致平台强制重启或重建虚拟机，概率估计 ~60%
② 虚拟机-042 虚拟机内部蓝屏
   判断依据：若虚拟机内部操作系统遭遇严重错误（如驱动冲突、系统文件损坏）触发蓝屏，系统通常会配置为自动重启，表现为业务中断后自行恢复，概率估计 ~30%
③ 以上都不是（请补充症状描述）
请回复 ① ② 或 ③ 完成确认。</t>
        </is>
      </c>
    </row>
    <row r="345">
      <c r="A345" t="inlineStr">
        <is>
          <t>Q2026031500090</t>
        </is>
      </c>
      <c r="B345" t="inlineStr">
        <is>
          <t>HCI</t>
        </is>
      </c>
      <c r="C345" t="inlineStr">
        <is>
          <t>6.8.0</t>
        </is>
      </c>
      <c r="D345" t="inlineStr">
        <is>
          <t>单主机256G内存，只跑180G单主机虚拟机，开机平台报错计算内存资源不足。但是hci平台查看是有225G的。需要协助查看原因。</t>
        </is>
      </c>
      <c r="E345" t="inlineStr">
        <is>
          <t>虚拟机</t>
        </is>
      </c>
      <c r="F345" t="inlineStr">
        <is>
          <t>虚拟机开关机</t>
        </is>
      </c>
      <c r="G345" t="inlineStr">
        <is>
          <t>根据您提供的故障现象，核心问题是虚拟机开机时报错“计算内存资源不足”，尽管平台显示物理内存看似充足。这通常涉及资源调度策略（如HA预留、内存超分限制）与实际物理资源的计算差异。
根据 [核心故障现象：开机报错计算资源不足]，您的问题可能属于以下故障之一，请确认：
① 虚拟机-003 虚拟机开机失败
   判断依据：客户明确描述“开机平台报错计算内存资源不足”，这是典型的虚拟机启动失败场景。虽然平台显示有225G可用，但HCI内部调度计算（考虑HA预留、已分配内存、内存开销等）后判定资源不足，直接归类为开机失败进行排查。概率估计 ~99%
③ 以上都不是（请补充症状描述）
请回复 ① 或 ③ 完成确认。</t>
        </is>
      </c>
    </row>
    <row r="346">
      <c r="A346" t="inlineStr">
        <is>
          <t>Q2026031400051</t>
        </is>
      </c>
      <c r="B346" t="inlineStr">
        <is>
          <t>HCI</t>
        </is>
      </c>
      <c r="C346" t="inlineStr">
        <is>
          <t>6.11.1R1</t>
        </is>
      </c>
      <c r="D346" t="inlineStr">
        <is>
          <t>断电重启后虚拟机无法使用，不清楚无法使用的现象</t>
        </is>
      </c>
      <c r="E346" t="inlineStr">
        <is>
          <t>虚拟机</t>
        </is>
      </c>
      <c r="F346" t="inlineStr">
        <is>
          <t>虚拟机开关机</t>
        </is>
      </c>
      <c r="G346" t="inlineStr">
        <is>
          <t>根据客户描述“断电重启后虚拟机无法使用，不清楚无法使用的现象”，由于缺乏具体错误现象（如是否无法开机、卡死、还是网络不通），无法直接定位到具体细分类别。
您的问题可能属于以下故障之一，请确认：
① 虚拟机-L1 虚拟机
   判断依据：客户明确表示“不清楚无法使用的现象”，未提供具体报错或状态，优先归入虚拟机域通用分类进行排查。概率估计 ~90%
③ 以上都不是（请补充症状描述）
请回复 ① 或 ③ 完成确认。</t>
        </is>
      </c>
    </row>
    <row r="347">
      <c r="A347" t="inlineStr">
        <is>
          <t>Q2026031301600</t>
        </is>
      </c>
      <c r="B347" t="inlineStr">
        <is>
          <t>HCI</t>
        </is>
      </c>
      <c r="C347" t="inlineStr">
        <is>
          <t>5.8.6</t>
        </is>
      </c>
      <c r="D347" t="inlineStr">
        <is>
          <t>虚拟机重启之后</t>
        </is>
      </c>
      <c r="E347" t="inlineStr">
        <is>
          <t>虚拟机</t>
        </is>
      </c>
      <c r="F347" t="inlineStr">
        <is>
          <t>虚拟机开关机</t>
        </is>
      </c>
      <c r="G347" t="inlineStr">
        <is>
          <t>根据您提供的简短描述“虚拟机重启之后”，由于未明确具体故障现象（如无法开机、业务异常、网络不通等），初步判断涉及虚拟机生命周期状态异常，请确认：
① 虚拟机-005 虚拟机重启失败
   判断依据：描述中包含“重启”关键词，可能是重启操作本身执行失败、卡住或长时间未完成，概率估计 ~50%
② 虚拟机-003 虚拟机开机失败
   判断依据：重启过程包含开机阶段，若重启后虚拟机处于关机、挂起状态无法进入系统，或黑屏无响应，属于此类，概率估计 ~40%
③ 以上都不是（请补充症状描述）
请回复 ① ② 或 ③ 完成确认。</t>
        </is>
      </c>
    </row>
    <row r="348">
      <c r="A348" t="inlineStr">
        <is>
          <t>Q2026031301483</t>
        </is>
      </c>
      <c r="B348" t="inlineStr">
        <is>
          <t>HCI</t>
        </is>
      </c>
      <c r="C348" t="inlineStr">
        <is>
          <t>6.9.0</t>
        </is>
      </c>
      <c r="D348" t="inlineStr">
        <is>
          <t xml:space="preserve">HCI断电后，LINX 虚拟机不能启动 
ERP的虚拟机，影响核心业务
</t>
        </is>
      </c>
      <c r="E348" t="inlineStr">
        <is>
          <t>虚拟机</t>
        </is>
      </c>
      <c r="F348" t="inlineStr">
        <is>
          <t>虚拟机开关机</t>
        </is>
      </c>
      <c r="G348" t="inlineStr">
        <is>
          <t>根据用户描述“HCI断电后，LINX 虚拟机不能启动”，这直接对应虚拟机生命周期的启动问题，判断为虚拟机开机失败场景。
您的问题可能属于以下故障之一，请确认：
① 虚拟机-003 虚拟机开机失败
   判断依据：用户明确描述虚拟机在断电后“不能启动”，属于典型的开机失败症状，概率估计 ~95%
③ 以上都不是（请补充症状描述）
请回复 ① 或 ③ 完成确认。</t>
        </is>
      </c>
    </row>
    <row r="349">
      <c r="A349" t="inlineStr">
        <is>
          <t>Q2026031301479</t>
        </is>
      </c>
      <c r="B349" t="inlineStr">
        <is>
          <t>HCI</t>
        </is>
      </c>
      <c r="C349" t="inlineStr"/>
      <c r="D349" t="inlineStr">
        <is>
          <t>HCI6台虚拟机分布式存储部署  只要其中一台虚拟机一开启读写就会随机出现另外一台虚拟机重启</t>
        </is>
      </c>
      <c r="E349" t="inlineStr">
        <is>
          <t>虚拟机</t>
        </is>
      </c>
      <c r="F349" t="inlineStr">
        <is>
          <t>虚拟机开关机</t>
        </is>
      </c>
      <c r="G349" t="inlineStr">
        <is>
          <t>根据客户描述“一台虚拟机开启读写导致另一台虚拟机随机重启”，这通常是高IO负载引发存储或网络拥塞，导致心跳超时，进而触发HCI平台的HA（高可用）机制误判并重启虚拟机。
根据症状分析，您的问题可能属于以下故障之一，请确认：
① **虚拟机-033 虚拟机异常HA**
   判断依据：虚拟机在IO压力下“随机重启”，符合平台因存储繁忙或网络拥塞导致心跳丢失，进而错误触发HA重启的特征，概率估计 ~85%
② **虚拟机-L1 虚拟机**
   判断依据：若排除平台HA机制触发，可能是虚拟机内部业务（如分布式存储软件自身）因资源死锁或内核恐慌导致的自发重启，概率估计 ~10%
③ 以上都不是（请补充症状描述）
请回复 ① ② 或 ③ 完成确认。</t>
        </is>
      </c>
    </row>
    <row r="350">
      <c r="A350" t="inlineStr">
        <is>
          <t>Q2026031301115</t>
        </is>
      </c>
      <c r="B350" t="inlineStr">
        <is>
          <t>HCI</t>
        </is>
      </c>
      <c r="C350" t="inlineStr">
        <is>
          <t>6.11.1_R1</t>
        </is>
      </c>
      <c r="D350" t="inlineStr">
        <is>
          <t>升级后虚拟机重启，排查原因</t>
        </is>
      </c>
      <c r="E350" t="inlineStr">
        <is>
          <t>虚拟机</t>
        </is>
      </c>
      <c r="F350" t="inlineStr">
        <is>
          <t>虚拟机开关机</t>
        </is>
      </c>
      <c r="G350" t="inlineStr">
        <is>
          <t>根据您提供的故障现象“升级后虚拟机重启，排查原因”，结合平台升级操作可能引发的系统状态变化，分析如下：
① **虚拟机-005 虚拟机重启失败**
   判断依据：用户描述中明确包含“虚拟机重启”动作及“排查原因”的诉求，需首先排查重启操作本身是否因升级后环境变化（如授权、服务兼容性）而执行失败，概率估计 ~60%
② **虚拟机-033 虚拟机异常HA**
   判断依据：关键词“升级后”常伴随主机服务重启或资源抢占，极易触发虚拟机高可用（HA）机制导致非预期的自动重启，需排查是否为异常HA切换，概率估计 ~35%
③ 以上都不是（请补充症状描述）
请回复 ① ② 或 ③ 完成确认。</t>
        </is>
      </c>
    </row>
    <row r="351">
      <c r="A351" t="inlineStr">
        <is>
          <t>Q2026031300955</t>
        </is>
      </c>
      <c r="B351" t="inlineStr">
        <is>
          <t>HCI</t>
        </is>
      </c>
      <c r="C351" t="inlineStr"/>
      <c r="D351" t="inlineStr">
        <is>
          <t>HCI6.9.0看到主机的内存负载是99%，但是内存使用率是50%，部分虚拟机无法开机</t>
        </is>
      </c>
      <c r="E351" t="inlineStr">
        <is>
          <t>虚拟机</t>
        </is>
      </c>
      <c r="F351" t="inlineStr">
        <is>
          <t>虚拟机开关机</t>
        </is>
      </c>
      <c r="G351" t="inlineStr">
        <is>
          <t>根据您提供的“主机内存负载99%（推测为分配率）而实际使用率50%，且伴随虚拟机无法开机”的现象，这属于典型的资源分配耗尽导致的开机失败问题。
请您确认以下故障分类：
① **虚拟机-003 虚拟机开机失败**
   判断依据：用户明确描述“部分虚拟机无法开机”，且“内存负载99%”表明宿主机内存资源分配率（超分率）已达上限，导致新虚拟机无法申请到内存资源而开机失败。概率估计 ~95%
③ 以上都不是（请补充症状描述）
请回复 ① 或 ③ 完成确认。</t>
        </is>
      </c>
    </row>
    <row r="352">
      <c r="A352" t="inlineStr">
        <is>
          <t>Q2026031300915</t>
        </is>
      </c>
      <c r="B352" t="inlineStr">
        <is>
          <t>HCI</t>
        </is>
      </c>
      <c r="C352" t="inlineStr">
        <is>
          <t>6.10.0_R2</t>
        </is>
      </c>
      <c r="D352" t="inlineStr">
        <is>
          <t>【服务升级】：服务商通过数字化服务平台发起服务升级，请尽快联系服务商处理！&lt;br&gt;【工单描述】：linux虚拟机重启后无法启动</t>
        </is>
      </c>
      <c r="E352" t="inlineStr">
        <is>
          <t>虚拟机</t>
        </is>
      </c>
      <c r="F352" t="inlineStr">
        <is>
          <t>虚拟机开关机</t>
        </is>
      </c>
      <c r="G352" t="inlineStr">
        <is>
          <t>根据客户描述“linux虚拟机重启后无法启动”，故障现象明确指向虚拟机生命周期管理中的启动环节，同时涉及重启操作上下文。
您的问题可能属于以下故障之一，请确认：
① 虚拟机-003 虚拟机开机失败
   判断依据：客户明确描述虚拟机“无法启动”，这是最核心的故障表象，概率估计 ~60%
② 虚拟机-005 虚拟机重启失败
   判断依据：故障发生在“重启后”，可能是重启任务本身未能正确触发开机流程或处于中间状态异常，概率估计 ~35%
③ 以上都不是（请补充症状描述）
请回复 ① ② 或 ③ 完成确认。</t>
        </is>
      </c>
    </row>
    <row r="353">
      <c r="A353" t="inlineStr">
        <is>
          <t>Q2026031300806</t>
        </is>
      </c>
      <c r="B353" t="inlineStr">
        <is>
          <t>HCI</t>
        </is>
      </c>
      <c r="C353" t="inlineStr"/>
      <c r="D353" t="inlineStr">
        <is>
          <t>虚拟机重启后反馈进不去系统需要协助处理</t>
        </is>
      </c>
      <c r="E353" t="inlineStr">
        <is>
          <t>虚拟机</t>
        </is>
      </c>
      <c r="F353" t="inlineStr">
        <is>
          <t>虚拟机开关机</t>
        </is>
      </c>
      <c r="G353" t="inlineStr">
        <is>
          <t>根据用户描述“虚拟机重启后反馈进不去系统”，该现象通常指向操作系统内部启动故障或网络连通性问题。系统在重启后无法进入，往往是因为文件系统损坏、配置文件加载失败导致进入紧急模式，或者是网络服务异常导致无法远程连接。
您的问题可能属于以下故障之一，请确认：
① 虚拟机-044 虚拟机内部空间或文件系统异常
   判断依据：重启操作是触发文件系统检查（fsck）或加载挂载点的关键时机，若磁盘满或文件系统损坏，会导致系统卡在启动阶段无法进入，符合“重启后进不去”的典型特征。概率估计 ~60%
② 虚拟机-049 虚拟机网络丢包或不通
   判断依据：“进不去系统”在部分场景下指用户无法通过远程桌面（RDP）或SSH连接虚拟机，可能是重启后网络服务未启动、IP冲突或防火墙策略阻断。概率估计 ~30%
③ 以上都不是（请补充症状描述）
请回复 ① ② 或 ③ 完成确认。</t>
        </is>
      </c>
    </row>
    <row r="354">
      <c r="A354" t="inlineStr">
        <is>
          <t>Q2026031300757</t>
        </is>
      </c>
      <c r="B354" t="inlineStr">
        <is>
          <t>HCI</t>
        </is>
      </c>
      <c r="C354" t="inlineStr">
        <is>
          <t>6.10.0_R2</t>
        </is>
      </c>
      <c r="D354" t="inlineStr">
        <is>
          <t>虚拟机反馈不定时重启需要协助排查</t>
        </is>
      </c>
      <c r="E354" t="inlineStr">
        <is>
          <t>虚拟机</t>
        </is>
      </c>
      <c r="F354" t="inlineStr">
        <is>
          <t>虚拟机开关机</t>
        </is>
      </c>
      <c r="G354" t="inlineStr">
        <is>
          <t>根据客户描述“虚拟机反馈不定时重启”，这通常是排查类诉求，指向虚拟机非预期重启的现象。在HCI环境中，非人为触发的重启主要涉及平台HA机制介入或内部系统崩溃。
您的问题可能属于以下故障之一，请确认：
① 虚拟机-033 虚拟机异常HA
   判断依据：虚拟机在平台层面出现非预期的自动重启，最常见原因是平台HA机制误触发（如宿主机心跳丢失、存储链路抖动导致虚拟机被强制拉起或重启），概率估计 ~60%
② 虚拟机-042 虚拟机内部蓝屏
   判断依据：若虚拟机内部操作系统发生内核崩溃或蓝屏，系统通常会自动重启，表现为不定时重启，概率估计 ~30%
③ 以上都不是（请补充症状描述）
请回复 ① ② 或 ③ 完成确认。</t>
        </is>
      </c>
    </row>
    <row r="355">
      <c r="A355" t="inlineStr">
        <is>
          <t>Q2026031300217</t>
        </is>
      </c>
      <c r="B355" t="inlineStr">
        <is>
          <t>HCI</t>
        </is>
      </c>
      <c r="C355" t="inlineStr">
        <is>
          <t>6.11.1_R1</t>
        </is>
      </c>
      <c r="D355" t="inlineStr">
        <is>
          <t>测试授权过期虚拟机无法正常开机了，协助处理核心虚拟机</t>
        </is>
      </c>
      <c r="E355" t="inlineStr">
        <is>
          <t>虚拟机</t>
        </is>
      </c>
      <c r="F355" t="inlineStr">
        <is>
          <t>虚拟机开关机</t>
        </is>
      </c>
      <c r="G355" t="inlineStr">
        <is>
          <t>根据客户描述中明确的“虚拟机无法正常开机”症状，结合“测试授权过期”这一已知诱因，符合虚拟机开机失败的故障特征。
① 虚拟机-003 虚拟机开机失败
   判断依据：用户明确描述“虚拟机无法正常开机”，且知识库指出授权/序列号问题是导致开机失败的四大方向之一，概率估计 ~95%
③ 以上都不是（请补充症状描述）
请回复 ① 或 ③ 完成确认。</t>
        </is>
      </c>
    </row>
    <row r="356">
      <c r="A356" t="inlineStr">
        <is>
          <t>Q2026031300068</t>
        </is>
      </c>
      <c r="B356" t="inlineStr">
        <is>
          <t>HCI</t>
        </is>
      </c>
      <c r="C356" t="inlineStr"/>
      <c r="D356" t="inlineStr">
        <is>
          <t>HCI 6.11.1，内部虚拟机被重启了，需要协助排查重启原因</t>
        </is>
      </c>
      <c r="E356" t="inlineStr">
        <is>
          <t>虚拟机</t>
        </is>
      </c>
      <c r="F356" t="inlineStr">
        <is>
          <t>虚拟机开关机</t>
        </is>
      </c>
      <c r="G356" t="inlineStr">
        <is>
          <t>根据客户描述“内部虚拟机被重启了，需要协助排查重启原因”，这通常涉及虚拟机的高可用（HA）机制触发或内部系统崩溃。您的问题可能属于以下故障之一，请确认：
① 虚拟机-033 虚拟机异常HA
   判断依据：客户描述“虚拟机被重启”，HCI 平台中虚拟机非人为主动重启最常见原因为 HA 机制触发（如宿主机故障、网络脑裂等导致虚拟机在其他节点拉起），概率估计 ~60%
② 虚拟机-042 虚拟机内部蓝屏
   判断依据：若虚拟机操作系统（Windows）遇到内核异常触发蓝屏重启，用户感知也是“被重启”，需排查系统内部日志，概率估计 ~30%
③ 以上都不是（请补充症状描述）
请回复 ① ② 或 ③ 完成确认。</t>
        </is>
      </c>
    </row>
    <row r="357">
      <c r="A357" t="inlineStr">
        <is>
          <t>Q2026031201701</t>
        </is>
      </c>
      <c r="B357" t="inlineStr">
        <is>
          <t>HCI</t>
        </is>
      </c>
      <c r="C357" t="inlineStr">
        <is>
          <t>HCI6.8.0_R1</t>
        </is>
      </c>
      <c r="D357" t="inlineStr">
        <is>
          <t>HCi ，1、虚拟机删除了网卡，重启以后，进入了紧急模式，centos，挂载点丢失 2、服务器有卡满盘的提示</t>
        </is>
      </c>
      <c r="E357" t="inlineStr">
        <is>
          <t>虚拟机</t>
        </is>
      </c>
      <c r="F357" t="inlineStr">
        <is>
          <t>虚拟机开关机</t>
        </is>
      </c>
      <c r="G357" t="inlineStr">
        <is>
          <t>根据客户描述的“虚拟机重启进入紧急模式、挂载点丢失”以及“服务器卡满盘提示”，问题分别指向虚拟机操作系统内部配置异常和存储资源告警，综合判断如下：
① 虚拟机-044 虚拟机内部空间或文件系统异常
   判断依据：客户明确描述虚拟机重启后“进入了紧急模式”且“挂载点丢失”。在 CentOS 中，这通常是因为 `/etc/fstab` 配置错误或依赖设备（如被删除网卡关联的存储）不可用导致文件系统挂载失败，从而进入紧急模式，概率估计 ~60%
② 存储-018 虚拟存储空间不足或满或高
   判断依据：客户描述“服务器有卡满盘的提示”，对应存储资源使用率过高或空间不足的告警，概率估计 ~35%
③ 以上都不是（请补充症状描述）
请回复 ① ② 或 ③ 完成确认。</t>
        </is>
      </c>
    </row>
    <row r="358">
      <c r="A358" t="inlineStr">
        <is>
          <t>Q2026031201625</t>
        </is>
      </c>
      <c r="B358" t="inlineStr">
        <is>
          <t>HCI</t>
        </is>
      </c>
      <c r="C358" t="inlineStr">
        <is>
          <t>6.8.0</t>
        </is>
      </c>
      <c r="D358" t="inlineStr">
        <is>
          <t>有个超融合承载的数据库业务早上死机了，重启后正常，需要协助排查原因</t>
        </is>
      </c>
      <c r="E358" t="inlineStr">
        <is>
          <t>虚拟机</t>
        </is>
      </c>
      <c r="F358" t="inlineStr">
        <is>
          <t>虚拟机开关机</t>
        </is>
      </c>
      <c r="G358" t="inlineStr">
        <is>
          <t>根据客户描述“数据库业务死机”、“重启后正常”，故障现象主要表现为虚拟机层面的异常中断或无响应。
① **虚拟机-039 虚拟机卡死无响应**
   判断依据：客户描述“死机”，通常指虚拟机对操作无响应（卡死），需通过重启恢复，符合此分类特征，概率估计 ~60%
② **虚拟机-009 虚拟机异常挂起**
   判断依据：若底层存储或网络发生瞬时故障，虚拟机可能进入“挂起”状态，外观表现类似“死机”，重启后往往恢复正常，概率估计 ~30%
③ 以上都不是（请补充症状描述）
请回复 ① ② 或 ③ 完成确认。</t>
        </is>
      </c>
    </row>
    <row r="359">
      <c r="A359" t="inlineStr">
        <is>
          <t>Q2026031201273</t>
        </is>
      </c>
      <c r="B359" t="inlineStr">
        <is>
          <t>HCI</t>
        </is>
      </c>
      <c r="C359" t="inlineStr">
        <is>
          <t>HCI6.10.0_R2</t>
        </is>
      </c>
      <c r="D359" t="inlineStr">
        <is>
          <t>hci有三台虚拟机经常会重启，其中一台没有勾选虚拟机异常时重启，需要协助处理</t>
        </is>
      </c>
      <c r="E359" t="inlineStr">
        <is>
          <t>虚拟机</t>
        </is>
      </c>
      <c r="F359" t="inlineStr">
        <is>
          <t>虚拟机开关机</t>
        </is>
      </c>
      <c r="G359" t="inlineStr">
        <is>
          <t>根据 客户描述中明确提及“虚拟机异常时重启”选项以及“虚拟机频繁重启”的现象，您的问题可能属于以下故障之一，请确认：
① **虚拟机-033 虚拟机异常HA**
   判断依据：客户描述“三台虚拟机经常会重启”且特别提到“虚拟机异常时重启”选项，这通常是虚拟机发生异常（如卡死、服务崩溃）后触发平台 HA 机制或看门狗重启的现象，概率估计 ~60%
② **虚拟机-042 虚拟机内部蓝屏**
   判断依据：虚拟机频繁重启的常见原因是内部操作系统崩溃（如 Windows 蓝屏），需要排查系统内部日志确认，概率估计 ~30%
③ 以上都不是（请补充症状描述）
请回复 ① ② 或 ③ 完成确认。</t>
        </is>
      </c>
    </row>
    <row r="360">
      <c r="A360" t="inlineStr">
        <is>
          <t>Q2026031200612</t>
        </is>
      </c>
      <c r="B360" t="inlineStr">
        <is>
          <t>HCI</t>
        </is>
      </c>
      <c r="C360" t="inlineStr">
        <is>
          <t>6.11.1R1</t>
        </is>
      </c>
      <c r="D360" t="inlineStr">
        <is>
          <t>早上集中虚拟机开机比较慢，需要协助处理</t>
        </is>
      </c>
      <c r="E360" t="inlineStr">
        <is>
          <t>虚拟机</t>
        </is>
      </c>
      <c r="F360" t="inlineStr">
        <is>
          <t>虚拟机开关机</t>
        </is>
      </c>
      <c r="G360" t="inlineStr"/>
    </row>
    <row r="361">
      <c r="A361" t="inlineStr">
        <is>
          <t>Q2026031200311</t>
        </is>
      </c>
      <c r="B361" t="inlineStr">
        <is>
          <t>HCI</t>
        </is>
      </c>
      <c r="C361" t="inlineStr">
        <is>
          <t>ARM6.2.0</t>
        </is>
      </c>
      <c r="D361" t="inlineStr">
        <is>
          <t>虚拟机开机失败，提示获取存储策略失败，请重试，有业务影响</t>
        </is>
      </c>
      <c r="E361" t="inlineStr">
        <is>
          <t>虚拟机</t>
        </is>
      </c>
      <c r="F361" t="inlineStr">
        <is>
          <t>虚拟机开关机</t>
        </is>
      </c>
      <c r="G361" t="inlineStr">
        <is>
          <t>根据客户描述的“虚拟机开机失败”及具体报错“获取存储策略失败”，问题定位于虚拟机生命周期管理中的启动环节，可能属于以下故障分类：
① 虚拟机-003 虚拟机开机失败
   判断依据：客户明确描述“虚拟机开机失败”，错误提示“获取存储策略失败”是开机流程中存储资源校验环节的具体报错，直接导致无法开机，概率估计 ~95%
③ 以上都不是（请补充症状描述）
请回复 ① 或 ③ 完成确认。</t>
        </is>
      </c>
    </row>
    <row r="362">
      <c r="A362" t="inlineStr">
        <is>
          <t>Q2026031101840</t>
        </is>
      </c>
      <c r="B362" t="inlineStr">
        <is>
          <t>HCI</t>
        </is>
      </c>
      <c r="C362" t="inlineStr">
        <is>
          <t>6.11.1_R1</t>
        </is>
      </c>
      <c r="D362" t="inlineStr">
        <is>
          <t>HCI虚拟机业务无法访问，HCI上显示开机，点重启提示未运行，反馈核心业务有影响，协助处理</t>
        </is>
      </c>
      <c r="E362" t="inlineStr">
        <is>
          <t>虚拟机</t>
        </is>
      </c>
      <c r="F362" t="inlineStr">
        <is>
          <t>虚拟机开关机</t>
        </is>
      </c>
      <c r="G362" t="inlineStr">
        <is>
          <t>根据客户描述“HCI上显示开机”但“业务无法访问”且“点重启提示未运行”，这属于典型的虚拟机状态不一致或僵尸机现象，您的问题可能属于以下故障之一，请确认：
① 虚拟机-039 虚拟机卡死无响应
   判断依据：虚拟机控制台显示“开机”状态，但业务无法访问，且平台管理指令（重启）响应异常，符合虚拟机进程僵死或状态不同步的特征，概率估计 ~60%
② 虚拟机-003 虚拟机开机失败
   判断依据：提示“未运行”可能意味着虚拟机实际处于停止状态，而显示“开机”为界面缓存假象，实际可能面临开机失败或异常关机问题，概率估计 ~30%
③ 以上都不是（请补充症状描述）
请回复 ① ② 或 ③ 完成确认。</t>
        </is>
      </c>
    </row>
    <row r="363">
      <c r="A363" t="inlineStr">
        <is>
          <t>Q2026031101827</t>
        </is>
      </c>
      <c r="B363" t="inlineStr">
        <is>
          <t>HCI</t>
        </is>
      </c>
      <c r="C363" t="inlineStr">
        <is>
          <t>HCI6.8.0</t>
        </is>
      </c>
      <c r="D363" t="inlineStr">
        <is>
          <t>超融合起不来，有1个核心业务虚拟机异常</t>
        </is>
      </c>
      <c r="E363" t="inlineStr">
        <is>
          <t>虚拟机</t>
        </is>
      </c>
      <c r="F363" t="inlineStr">
        <is>
          <t>虚拟机开关机</t>
        </is>
      </c>
      <c r="G363" t="inlineStr">
        <is>
          <t>根据您的描述“超融合起不来”且特指“有1个核心业务虚拟机异常”，这通常属于用户口语化表达，您的问题可能属于以下故障之一，请确认：
① 虚拟机-003 虚拟机开机失败
   判断依据：用户明确指出“有1个核心业务虚拟机异常”，且口语中“起不来”通常对应虚拟机无法启动或开机过程报错。概率估计 ~60%
② 平台-005 主机离线或异常重启
   判断依据：用户表述“超融合起不来”，字面意思可能指物理主机节点无法启动或处于离线状态，导致其上的业务虚拟机异常。概率估计 ~30%
③ 以上都不是（请补充症状描述）
请回复 ① ② 或 ③ 完成确认。</t>
        </is>
      </c>
    </row>
    <row r="364">
      <c r="A364" t="inlineStr">
        <is>
          <t>Q2026031101815</t>
        </is>
      </c>
      <c r="B364" t="inlineStr">
        <is>
          <t>HCI</t>
        </is>
      </c>
      <c r="C364" t="inlineStr"/>
      <c r="D364" t="inlineStr">
        <is>
          <t>超融合有一台虚拟机设置了高性能后任务一直卡住，虚拟机无法开机一台数据库服务器，开不起来业务用不了，需要协助。</t>
        </is>
      </c>
      <c r="E364" t="inlineStr">
        <is>
          <t>虚拟机</t>
        </is>
      </c>
      <c r="F364" t="inlineStr">
        <is>
          <t>虚拟机开关机</t>
        </is>
      </c>
      <c r="G364" t="inlineStr">
        <is>
          <t>根据您的描述，故障核心表现为虚拟机操作任务卡住导致虚拟机无法开机，这直接对应虚拟机生命周期管理中的启动失败问题。
您的问题可能属于以下故障之一，请确认：
① **虚拟机-003 虚拟机开机失败**
   判断依据：客户明确描述“虚拟机无法开机”，且提到“任务一直卡住”，符合开机流程中被阻塞或超时导致的失败特征，概率估计 ~90%
② **虚拟机-022 虚拟机磁盘分配方式卡住**
   判断依据：客户提到“设置了高性能”后触发，高性能设置往往涉及磁盘IO策略调整或资源重新分配，若后台任务卡住可能阻塞后续开机流程，概率估计 ~10%
③ 以上都不是（请补充症状描述）
请回复 ① ② 或 ③ 完成确认。</t>
        </is>
      </c>
    </row>
    <row r="365">
      <c r="A365" t="inlineStr">
        <is>
          <t>Q2026031101619</t>
        </is>
      </c>
      <c r="B365" t="inlineStr">
        <is>
          <t>HCI</t>
        </is>
      </c>
      <c r="C365" t="inlineStr"/>
      <c r="D365" t="inlineStr">
        <is>
          <t>单台虚拟机重启卡在启动界面</t>
        </is>
      </c>
      <c r="E365" t="inlineStr">
        <is>
          <t>虚拟机</t>
        </is>
      </c>
      <c r="F365" t="inlineStr">
        <is>
          <t>虚拟机开关机</t>
        </is>
      </c>
      <c r="G365" t="inlineStr">
        <is>
          <t>根据客户描述“单台虚拟机重启卡在启动界面”，该症状指向虚拟机生命周期状态异常。重启过程包含“关机”和“开机”两个阶段，卡在“启动界面”说明关机流程已通过，问题发生在开机阶段，且表现为进程挂起或IO无响应。
您的问题可能属于以下故障之一，请确认：
① 虚拟机-003 虚拟机开机失败
   判断依据：重启卡在启动界面，本质是“开机”阶段未能完成。可能涉及存储卷挂载超时、QEMU进程异常或资源死锁，符合开机失败诊断范畴，概率估计 ~60%
② 虚拟机-039 虚拟机卡死无响应
   判断依据：描述中出现关键词“卡”，且位于启动界面，表明虚拟机进程处于假死或无响应状态，符合虚拟机卡死的特征定义，概率估计 ~35%
③ 以上都不是（请补充症状描述）
请回复 ① ② 或 ③ 完成确认。</t>
        </is>
      </c>
    </row>
    <row r="366">
      <c r="A366" t="inlineStr">
        <is>
          <t>Q2026031101454</t>
        </is>
      </c>
      <c r="B366" t="inlineStr">
        <is>
          <t>HCI</t>
        </is>
      </c>
      <c r="C366" t="inlineStr"/>
      <c r="D366" t="inlineStr">
        <is>
          <t>HCI 6.11.0 ，6节点，2个数据库服务器虚拟机，开启了主机启动自动运行的。固定在了A，B主机上，单击重启A服务器，但是数据库在开机的时候没法自动自启，</t>
        </is>
      </c>
      <c r="E366" t="inlineStr">
        <is>
          <t>虚拟机</t>
        </is>
      </c>
      <c r="F366" t="inlineStr">
        <is>
          <t>虚拟机开关机</t>
        </is>
      </c>
      <c r="G366" t="inlineStr">
        <is>
          <t>根据用户描述的“虚拟机开启了主机启动自动运行，但重启宿主机后虚拟机未自动启动”这一现象，核心问题是虚拟机未能成功进入运行状态。
根据 [虚拟机配置了跟随主机启动但在主机重启后未能自动运行]，您的问题可能属于以下故障之一，请确认：
① 虚拟机-003 虚拟机开机失败
   判断依据：虚拟机在宿主机重启后未能按预期自动启动，处于关机状态，符合开机失败或开机动作未成功触发的特征，概率估计 ~90%
③ 以上都不是（请补充症状描述）
请回复 ① 或 ③ 完成确认。</t>
        </is>
      </c>
    </row>
    <row r="367">
      <c r="A367" t="inlineStr">
        <is>
          <t>Q2026031101278</t>
        </is>
      </c>
      <c r="B367" t="inlineStr">
        <is>
          <t>HCI</t>
        </is>
      </c>
      <c r="C367" t="inlineStr">
        <is>
          <t>HCI5.8.3</t>
        </is>
      </c>
      <c r="D367" t="inlineStr">
        <is>
          <t>两主机环境，有台主机无法开机，虚拟机全都无法正常使用</t>
        </is>
      </c>
      <c r="E367" t="inlineStr">
        <is>
          <t>虚拟机</t>
        </is>
      </c>
      <c r="F367" t="inlineStr">
        <is>
          <t>虚拟机开关机</t>
        </is>
      </c>
      <c r="G367" t="inlineStr">
        <is>
          <t>根据客户描述“有台主机无法开机”，这是典型的物理服务器硬件故障场景；同时“虚拟机全都无法正常使用”可能是因为双节点集群在单节点故障时发生了存储脑裂或资源不足导致的连带影响。主要故障点定位在物理主机层面。
根据 [客户描述：有台主机无法开机]，您的问题可能属于以下故障之一，请确认：
① 硬件-042 盒子开机失败
   判断依据：客户明确指出“有台主机无法开机”，指向物理服务器加电启动失败，概率估计 ~80%
② 平台-005 主机离线或异常重启
   判断依据：主机无法开机导致其在集群中处于离线状态，进而影响上层虚拟机业务，概率估计 ~15%
③ 以上都不是（请补充症状描述）
请回复 ① ② 或 ③ 完成确认。</t>
        </is>
      </c>
    </row>
    <row r="368">
      <c r="A368" t="inlineStr">
        <is>
          <t>Q2026031101068</t>
        </is>
      </c>
      <c r="B368" t="inlineStr">
        <is>
          <t>HCI</t>
        </is>
      </c>
      <c r="C368" t="inlineStr">
        <is>
          <t>与版本无关</t>
        </is>
      </c>
      <c r="D368" t="inlineStr">
        <is>
          <t>hci虚拟化部署科力锐 重启报错</t>
        </is>
      </c>
      <c r="E368" t="inlineStr">
        <is>
          <t>虚拟机</t>
        </is>
      </c>
      <c r="F368" t="inlineStr">
        <is>
          <t>虚拟机开关机</t>
        </is>
      </c>
      <c r="G368" t="inlineStr">
        <is>
          <t>根据您提供的描述“hci虚拟化部署科力锐 重启报错”，分析如下：
1.  **关键实体提取**：虚拟机（业务为科力锐）、操作动作（重启）、结果（报错）。
2.  **错误模式匹配**：用户明确指出了对虚拟机执行“重启”操作时发生报错，这直接对应虚拟机生命周期管理中的重启故障场景。
3.  **分类定位**：在故障分类基准中，“虚拟机-005 虚拟机重启失败”精准描述了当前症状。
请确认以下故障分类：
① **虚拟机-005 虚拟机重启失败**
   判断依据：客户描述明确提及“重启报错”，直接对应虚拟机重启操作失败的故障分类，概率估计 ~90%
② **虚拟机-043 虚拟机内部软件使用异常**
   判断依据：若“报错”并非指平台任务失败，而是指科力锐业务软件在重启过程中报错或无法启动，则属于虚拟机内部软件问题，概率估计 ~10%
③ 以上都不是（请补充症状描述）
请回复 ① ② 或 ③ 完成确认。</t>
        </is>
      </c>
    </row>
    <row r="369">
      <c r="A369" t="inlineStr">
        <is>
          <t>Q2026031100754</t>
        </is>
      </c>
      <c r="B369" t="inlineStr">
        <is>
          <t>HCI</t>
        </is>
      </c>
      <c r="C369" t="inlineStr">
        <is>
          <t>HCI6.10.0_R2</t>
        </is>
      </c>
      <c r="D369" t="inlineStr">
        <is>
          <t>有两台虚拟机起不来，手动重启发现关闭电源都是灰色的，无法操作
问题处理群拉下唐鑫鑫</t>
        </is>
      </c>
      <c r="E369" t="inlineStr">
        <is>
          <t>虚拟机</t>
        </is>
      </c>
      <c r="F369" t="inlineStr">
        <is>
          <t>虚拟机开关机</t>
        </is>
      </c>
      <c r="G369" t="inlineStr">
        <is>
          <t>根据用户描述的“虚拟机起不来”且“关闭电源灰色无法操作”的症状，这通常意味着虚拟机处于异常状态（如任务卡死、状态不一致），导致平台管理界面锁定了电源操作。
您的问题可能属于以下故障之一，请确认：
① **虚拟机-009 虚拟机异常挂起**
   判断依据：用户提到“关闭电源都是灰色的，无法操作”，这是虚拟机状态异常（如僵尸状态、任务未结束、异常挂起）的典型表现，导致管理界面无法下发电源指令，概率估计 ~60%
② **虚拟机-003 虚拟机开机失败**
   判断依据：用户核心诉求为“有两台虚拟机起不来”，直接指向虚拟机无法正常启动的故障现象，概率估计 ~40%
③ 以上都不是（请补充症状描述）
请回复 ① ② 或 ③ 完成确认。</t>
        </is>
      </c>
    </row>
    <row r="370">
      <c r="A370" t="inlineStr">
        <is>
          <t>Q2026031100415</t>
        </is>
      </c>
      <c r="B370" t="inlineStr">
        <is>
          <t>HCI</t>
        </is>
      </c>
      <c r="C370" t="inlineStr"/>
      <c r="D370" t="inlineStr">
        <is>
          <t>每天凌晨0-3点2台不同主机上的业务虚拟机会中断，但是之后会正常</t>
        </is>
      </c>
      <c r="E370" t="inlineStr">
        <is>
          <t>虚拟机</t>
        </is>
      </c>
      <c r="F370" t="inlineStr">
        <is>
          <t>虚拟机开关机</t>
        </is>
      </c>
      <c r="G370" t="inlineStr">
        <is>
          <t>根据症状描述（特定时间段 0-3 点、业务中断后恢复），该故障具有明显的定时任务特征，最常见原因为备份任务或维护任务导致的业务暂停/重启。
根据 [症状特征：凌晨定时触发 + 中断后恢复]，您的问题可能属于以下故障之一，请确认：
① 虚拟机-027 虚拟机备份创建失败
   判断依据：凌晨0-3点通常是备份窗口，备份程序创建快照会导致虚拟机短时“卡顿”或I/O挂起，若备份异常卡死会导致业务中断，任务超时或结束后恢复正常。概率估计 ~60%
② 虚拟机-033 虚拟机异常HA
   判断依据：若主机在凌晨因定时任务或异常发生重启/网络波动，会触发虚拟机HA（高可用）迁移，表现为业务中断并在其他主机重建恢复。概率估计 ~30%
③ 以上都不是（请补充症状描述）
请回复 ① ② 或 ③ 完成确认。</t>
        </is>
      </c>
    </row>
    <row r="371">
      <c r="A371" t="inlineStr">
        <is>
          <t>Q2026031100075</t>
        </is>
      </c>
      <c r="B371" t="inlineStr">
        <is>
          <t>HCI</t>
        </is>
      </c>
      <c r="C371" t="inlineStr"/>
      <c r="D371" t="inlineStr">
        <is>
          <t>虚拟机异常重启查原因</t>
        </is>
      </c>
      <c r="E371" t="inlineStr">
        <is>
          <t>虚拟机</t>
        </is>
      </c>
      <c r="F371" t="inlineStr">
        <is>
          <t>虚拟机开关机</t>
        </is>
      </c>
      <c r="G371" t="inlineStr">
        <is>
          <t>根据您的描述“虚拟机异常重启查原因”，该现象通常由平台侧高可用（HA）机制触发或虚拟机内部系统崩溃导致。
请确认故障分类：
① **虚拟机-033 虚拟机异常HA**
   判断依据：HCI 平台中虚拟机非人为触发的“异常重启”，大概率是由主机故障、网络脑裂或资源抢占导致的 HA 切换（平台侧保护性重启），概率估计 ~70%
② **虚拟机-042 虚拟机内部蓝屏**
   判断依据：若虚拟机操作系统内部发生严重内核错误（蓝屏/Kernel Panic）且配置了系统自动重启策略，表现亦为虚拟机异常重启，概率估计 ~20%
③ 以上都不是（请补充症状描述）
请回复 ① ② 或 ③ 完成确认。</t>
        </is>
      </c>
    </row>
    <row r="372">
      <c r="A372" t="inlineStr">
        <is>
          <t>Q2026031100060</t>
        </is>
      </c>
      <c r="B372" t="inlineStr">
        <is>
          <t>HCI</t>
        </is>
      </c>
      <c r="C372" t="inlineStr">
        <is>
          <t>6.11.1R1</t>
        </is>
      </c>
      <c r="D372" t="inlineStr">
        <is>
          <t>虚拟机重启查原因</t>
        </is>
      </c>
      <c r="E372" t="inlineStr">
        <is>
          <t>虚拟机</t>
        </is>
      </c>
      <c r="F372" t="inlineStr">
        <is>
          <t>虚拟机开关机</t>
        </is>
      </c>
      <c r="G372" t="inlineStr">
        <is>
          <t>根据您提供的信息“虚拟机重启查原因”，可能指执行重启操作失败，也可能指虚拟机发生了非预期的自动重启。这属于中置信度场景，建议确认以下分类：
① 虚拟机-005 虚拟机重启失败
   判断依据：用户明确提及“虚拟机重启”，若是指手动执行重启操作后卡住或报错，则属于此类故障，概率估计 ~50%
② 虚拟机-033 虚拟机异常HA
   判断依据：用户提及“查原因”，若是指虚拟机自动重新启动（业务中断后恢复），通常是HA机制触发或主机故障导致，概率估计 ~40%
③ 以上都不是（请补充症状描述）
请回复 ① ② 或 ③ 完成确认。</t>
        </is>
      </c>
    </row>
    <row r="373">
      <c r="A373" t="inlineStr">
        <is>
          <t>Q2026031100041</t>
        </is>
      </c>
      <c r="B373" t="inlineStr">
        <is>
          <t>HCI</t>
        </is>
      </c>
      <c r="C373" t="inlineStr">
        <is>
          <t>6.11.1</t>
        </is>
      </c>
      <c r="D373" t="inlineStr">
        <is>
          <t>还原模式虚拟机，有一台虚拟机每次开机提示重定向路径连接成功，其他虚拟机没有提示，需要协助处理</t>
        </is>
      </c>
      <c r="E373" t="inlineStr">
        <is>
          <t>虚拟机</t>
        </is>
      </c>
      <c r="F373" t="inlineStr">
        <is>
          <t>虚拟机开关机</t>
        </is>
      </c>
      <c r="G373" t="inlineStr">
        <is>
          <t>根据您的描述，问题核心在于“还原模式虚拟机”开机时出现“重定向路径连接成功”的提示，而其他虚拟机无此现象。
该提示通常与虚拟机挂载了 ISO 光驱镜像、USB 设备重定向，或处于备份还原模式下的特定数据通道连接有关。由于虚拟机可以正常开机（提示为“成功”），且症状表现为配置或状态上的差异，不属于典型的开机失败或硬件故障。
请确认以下最可能的故障分类：
① **虚拟机-L1 虚拟机**
   判断依据：现象为单台虚拟机的特定提示信息（重定向路径），其他虚拟机正常，属于虚拟机个体配置或运行状态异常（如残留的 ISO 挂载、还原模式特有连接），概率估计 ~85%
② **虚拟机-043 虚拟机内部软件使用异常**
   判断依据：若该提示是虚拟机内部代理程序（如备份客户端、安全工具）弹出的业务交互信息，亦可归为此类，概率估计 ~15%
③ 以上都不是（请补充症状描述）
请回复 ① ② 或 ③ 完成确认。</t>
        </is>
      </c>
    </row>
    <row r="374">
      <c r="A374" t="inlineStr">
        <is>
          <t>Q2026031100014</t>
        </is>
      </c>
      <c r="B374" t="inlineStr">
        <is>
          <t>HCI</t>
        </is>
      </c>
      <c r="C374" t="inlineStr">
        <is>
          <t>6.10.0_R2</t>
        </is>
      </c>
      <c r="D374" t="inlineStr">
        <is>
          <t xml:space="preserve">虚拟机开机卡主需要协助看下 </t>
        </is>
      </c>
      <c r="E374" t="inlineStr">
        <is>
          <t>虚拟机</t>
        </is>
      </c>
      <c r="F374" t="inlineStr">
        <is>
          <t>虚拟机开关机</t>
        </is>
      </c>
      <c r="G374" t="inlineStr">
        <is>
          <t>根据用户描述“虚拟机开机卡主”，该问题属于典型的虚拟机生命周期管理异常，故障现象明确指向开机流程未完成。
您的问题可能属于以下故障之一，请确认：
① 虚拟机-003 虚拟机开机失败
   判断依据：用户描述“虚拟机开机卡主”，表明虚拟机启动任务长时间未完成或阻塞，符合虚拟机开机失败/异常的分类特征，概率估计 ~95%
② 以上都不是（请补充症状描述）
请回复 ① 或 ② 完成确认。</t>
        </is>
      </c>
    </row>
    <row r="375">
      <c r="A375" t="inlineStr">
        <is>
          <t>Q2026031001541</t>
        </is>
      </c>
      <c r="B375" t="inlineStr">
        <is>
          <t>HCI</t>
        </is>
      </c>
      <c r="C375" t="inlineStr">
        <is>
          <t>6.10.0_R2</t>
        </is>
      </c>
      <c r="D375" t="inlineStr">
        <is>
          <t>虚拟机软重启查原因</t>
        </is>
      </c>
      <c r="E375" t="inlineStr">
        <is>
          <t>虚拟机</t>
        </is>
      </c>
      <c r="F375" t="inlineStr">
        <is>
          <t>虚拟机开关机</t>
        </is>
      </c>
      <c r="G375" t="inlineStr">
        <is>
          <t>根据您的描述“虚拟机软重启查原因”，这通常指虚拟机发生了非预期的重启动作。您的问题可能属于以下故障之一，请确认：
① 虚拟机-033 虚拟机异常HA
   判断依据：虚拟机突然重启可能是宿主机故障触发了平台高可用（HA）机制，导致虚拟机在其他主机上重拉起，概率估计 ~60%
② 虚拟机-042 虚拟机内部蓝屏
   判断依据：虚拟机内部操作系统崩溃（如 Windows 蓝屏、Linux Kernel Panic）后往往会触发自动重启，表现为软重启现象，概率估计 ~30%
③ 以上都不是（请补充症状描述）
请回复 ① ② 或 ③ 完成确认。</t>
        </is>
      </c>
    </row>
    <row r="376">
      <c r="A376" t="inlineStr">
        <is>
          <t>Q2026031001318</t>
        </is>
      </c>
      <c r="B376" t="inlineStr">
        <is>
          <t>HCI</t>
        </is>
      </c>
      <c r="C376" t="inlineStr"/>
      <c r="D376" t="inlineStr">
        <is>
          <t>虚拟机安装显卡驱动后执行重启命令后一直卡在启动界面</t>
        </is>
      </c>
      <c r="E376" t="inlineStr">
        <is>
          <t>虚拟机</t>
        </is>
      </c>
      <c r="F376" t="inlineStr">
        <is>
          <t>虚拟机开关机</t>
        </is>
      </c>
      <c r="G376" t="inlineStr">
        <is>
          <t>根据您的描述“虚拟机安装显卡驱动后执行重启命令后一直卡在启动界面”，这属于典型的变更操作（安装驱动）引发的虚拟机状态异常。显卡驱动安装不当极易导致Guest OS内核崩溃或初始化挂起，表现为系统启动卡死。
您的问题可能属于以下故障之一，请确认：
① **虚拟机-039 虚拟机卡死无响应**
   判断依据：用户描述“一直卡在启动界面”，且发生于高风险操作“安装显卡驱动”后，极大概率是Guest OS内核加载显卡驱动时崩溃或死锁，导致虚拟机处于假死或无响应状态，概率估计 ~85%
② **虚拟机-005 虚拟机重启失败**
   判断依据：用户明确提及“执行重启命令”后出现故障，从平台任务视角看，若系统长时间停留在启动画面无法进入系统，可能被判定为重启任务超时或未完成，概率估计 ~15%
③ 以上都不是（请补充症状描述）
请回复 ① ② 或 ③ 完成确认。</t>
        </is>
      </c>
    </row>
    <row r="377">
      <c r="A377" t="inlineStr">
        <is>
          <t>Q2026031000541</t>
        </is>
      </c>
      <c r="B377" t="inlineStr">
        <is>
          <t>HCI</t>
        </is>
      </c>
      <c r="C377" t="inlineStr">
        <is>
          <t>6.11.1_R1</t>
        </is>
      </c>
      <c r="D377" t="inlineStr">
        <is>
          <t>跨集群迁移，从x86迁移到c86 ，当前跨集群迁移成功 ，linux虚拟机进入了紧急模式 华为欧拉2403.影响核心业务</t>
        </is>
      </c>
      <c r="E377" t="inlineStr">
        <is>
          <t>虚拟机</t>
        </is>
      </c>
      <c r="F377" t="inlineStr">
        <is>
          <t>虚拟机开关机</t>
        </is>
      </c>
      <c r="G377" t="inlineStr">
        <is>
          <t>根据您的描述，跨集群迁移任务本身显示成功，但虚拟机开机后进入“紧急模式”，这通常与操作系统内部的文件系统挂载或驱动兼容性有关。请确认以下分类：
① 虚拟机-044 虚拟机内部空间或文件系统异常
   判断依据：Linux 虚拟机进入“紧急模式”最常见原因为 `/etc/fstab` 配置错误、文件系统损坏或 UUID 不匹配导致挂载失败，概率估计 ~70%
② 虚拟机-043 虚拟机内部软件使用异常
   判断依据：涉及 x86 到 c86（可能为不同架构或指令集）的跨集群迁移，若未进行兼容性处理，可能因驱动缺失或内核不兼容导致系统无法正常引导，概率估计 ~25%
③ 以上都不是（请补充症状描述）
请回复 ① ② 或 ③ 完成确认。</t>
        </is>
      </c>
    </row>
    <row r="378">
      <c r="A378" t="inlineStr">
        <is>
          <t>Q2026031000202</t>
        </is>
      </c>
      <c r="B378" t="inlineStr">
        <is>
          <t>HCI</t>
        </is>
      </c>
      <c r="C378" t="inlineStr">
        <is>
          <t>6.3.0R1</t>
        </is>
      </c>
      <c r="D378" t="inlineStr">
        <is>
          <t>单台虚拟机自动关机 需要排查原因</t>
        </is>
      </c>
      <c r="E378" t="inlineStr">
        <is>
          <t>虚拟机</t>
        </is>
      </c>
      <c r="F378" t="inlineStr">
        <is>
          <t>虚拟机开关机</t>
        </is>
      </c>
      <c r="G378" t="inlineStr">
        <is>
          <t>根据客户描述“单台虚拟机自动关机”，这是典型的虚拟机状态异常现象。由于客户明确指出是“单台”虚拟机，排除了主机整体故障（如断电）导致的大面积关机，因此故障焦点主要集中在虚拟机自身稳定性（如系统崩溃）或宿主机针对该虚拟机的特定操作上。
以下是可能的故障分类：
① 虚拟机-042 虚拟机内部蓝屏
   判断依据：单台虚拟机意外关机最常见原因是操作系统内部崩溃（如Windows蓝屏、Linux Kernel Panic），导致系统执行了关机或重启动作，概率估计 ~50%
② 虚拟机-039 虚拟机卡死无响应
   判断依据：虚拟机进程或服务异常可能导致系统假死或自动保护性关机，概率估计 ~30%
③ 以上都不是（请补充症状描述）
请回复 ① ② 或 ③ 完成确认。</t>
        </is>
      </c>
    </row>
    <row r="379">
      <c r="A379" t="inlineStr">
        <is>
          <t>Q2026031000034</t>
        </is>
      </c>
      <c r="B379" t="inlineStr">
        <is>
          <t>HCI</t>
        </is>
      </c>
      <c r="C379" t="inlineStr">
        <is>
          <t>6.10.0_R2</t>
        </is>
      </c>
      <c r="D379" t="inlineStr">
        <is>
          <t>HCI，有一台数据库的虚拟机，手动关闭电源以后，重启起不来，报错启动失败，虚拟机业务镜像忙，正在进行其他操作。</t>
        </is>
      </c>
      <c r="E379" t="inlineStr">
        <is>
          <t>虚拟机</t>
        </is>
      </c>
      <c r="F379" t="inlineStr">
        <is>
          <t>虚拟机开关机</t>
        </is>
      </c>
      <c r="G379" t="inlineStr">
        <is>
          <t>根据客户描述“重启起不来，报错启动失败，虚拟机业务镜像忙”，核心症状为虚拟机开机操作受阻。
① 虚拟机-003 虚拟机开机失败
   判断依据：客户明确描述“重启起不来”、“报错启动失败”，错误信息“虚拟机业务镜像忙”直接解释了启动受阻的原因（通常是后台任务未结束或锁未释放），概率估计 ~95%
③ 以上都不是（请补充症状描述）
请回复 ① 或 ③ 完成确认。</t>
        </is>
      </c>
    </row>
    <row r="380">
      <c r="A380" t="inlineStr">
        <is>
          <t>Q2026031000011</t>
        </is>
      </c>
      <c r="B380" t="inlineStr">
        <is>
          <t>HCI</t>
        </is>
      </c>
      <c r="C380" t="inlineStr">
        <is>
          <t>HCI6.11.1</t>
        </is>
      </c>
      <c r="D380" t="inlineStr">
        <is>
          <t>3D桌面云大部分虚拟机无法开机，提示显卡资源不足</t>
        </is>
      </c>
      <c r="E380" t="inlineStr">
        <is>
          <t>虚拟机</t>
        </is>
      </c>
      <c r="F380" t="inlineStr">
        <is>
          <t>虚拟机开关机</t>
        </is>
      </c>
      <c r="G380" t="inlineStr">
        <is>
          <t>根据 [客户描述“虚拟机无法开机”及“显卡资源不足”提示]，您的问题可能属于以下故障之一，请确认：
① 虚拟机-003 虚拟机开机失败
   判断依据：客户明确描述“大部分虚拟机无法开机”，并伴有具体报错提示“显卡资源不足”，符合虚拟机生命周期管理中启动失败的故障定义。概率估计 ~95%
② 平台-028 集群无可用显卡告警
   判断依据：报错提示“显卡资源不足”，表明集群层面的物理显卡资源可能已耗尽或分配达到上限，触发了资源类告警。概率估计 ~80%
③ 以上都不是（请补充症状描述）
请回复 ① ② 或 ③ 完成确认。</t>
        </is>
      </c>
    </row>
    <row r="381">
      <c r="A381" t="inlineStr">
        <is>
          <t>Q2026030901721</t>
        </is>
      </c>
      <c r="B381" t="inlineStr">
        <is>
          <t>HCI</t>
        </is>
      </c>
      <c r="C381" t="inlineStr">
        <is>
          <t>6.10.0_R2</t>
        </is>
      </c>
      <c r="D381" t="inlineStr">
        <is>
          <t>登录失败和虚拟机掉盘需要看下</t>
        </is>
      </c>
      <c r="E381" t="inlineStr">
        <is>
          <t>虚拟机</t>
        </is>
      </c>
      <c r="F381" t="inlineStr">
        <is>
          <t>虚拟机开关机</t>
        </is>
      </c>
      <c r="G381" t="inlineStr">
        <is>
          <t>根据您的描述“登录失败和虚拟机掉盘”，系统识别到两个明确的故障现象。S0 阶段需确认主要故障分类，请确认以下选项：
① **平台-018 控制台登录失败**
   判断依据：客户描述中明确提到“登录失败”，通常指 HCI 平台管理控制台无法正常登入，概率估计 ~50%
② **存储-019 虚拟存储状态异常**
   判断依据：客户描述中提到“虚拟机掉盘”，通常涉及虚拟存储卷离线、服务异常或不可访问，导致虚拟机磁盘丢失，概率估计 ~45%
③ 以上都不是（请补充症状描述）
请回复 ① ② 或 ③ 完成确认。</t>
        </is>
      </c>
    </row>
    <row r="382">
      <c r="A382" t="inlineStr">
        <is>
          <t>Q2026030901701</t>
        </is>
      </c>
      <c r="B382" t="inlineStr">
        <is>
          <t>HCI</t>
        </is>
      </c>
      <c r="C382" t="inlineStr"/>
      <c r="D382" t="inlineStr">
        <is>
          <t>【紧急报障】：客户通过数字化服务平台发起的紧急报障，请尽快联系处理！&amp;lt;br&amp;gt;【工单描述】：HCI服务器磁盘满了之后一台业务虚拟机反复重启，提示网络故障，影响到业务了，客户名称：内蒙古新能能源</t>
        </is>
      </c>
      <c r="E382" t="inlineStr">
        <is>
          <t>虚拟机</t>
        </is>
      </c>
      <c r="F382" t="inlineStr">
        <is>
          <t>虚拟机开关机</t>
        </is>
      </c>
      <c r="G382" t="inlineStr">
        <is>
          <t>根据客户描述“HCI服务器磁盘满了之后...虚拟机反复重启”，这表明存储资源瓶颈直接导致了虚拟机运行状态异常。存储空间耗尽会导致虚拟机I/O写入失败，进而引发操作系统崩溃或HA机制反复触发重启。
您的问题可能属于以下故障之一，请确认：
① **存储-018 虚拟存储空间不足或满或高**
   判断依据：客户明确描述“HCI服务器磁盘满了”，这是导致后续虚拟机重启和网络故障提示的根本原因，概率估计 ~90%
② **虚拟机-033 虚拟机异常HA**
   判断依据：虚拟机在存储故障后出现“反复重启”现象，极大概率是因为HA（高可用）机制检测到故障后尝试恢复，但因存储空间未释放导致反复重启失败，概率估计 ~70%
③ 以上都不是（请补充症状描述）
请回复 ① ② 或 ③ 完成确认。</t>
        </is>
      </c>
    </row>
    <row r="383">
      <c r="A383" t="inlineStr">
        <is>
          <t>Q2026030901541</t>
        </is>
      </c>
      <c r="B383" t="inlineStr">
        <is>
          <t>HCI</t>
        </is>
      </c>
      <c r="C383" t="inlineStr">
        <is>
          <t>6.10.0R2</t>
        </is>
      </c>
      <c r="D383" t="inlineStr">
        <is>
          <t>centos虚拟机 开起了内存回收 会不定时自动重启</t>
        </is>
      </c>
      <c r="E383" t="inlineStr">
        <is>
          <t>虚拟机</t>
        </is>
      </c>
      <c r="F383" t="inlineStr">
        <is>
          <t>虚拟机开关机</t>
        </is>
      </c>
      <c r="G383" t="inlineStr">
        <is>
          <t>根据您描述的“不定时自动重启”且涉及“开启内存回收”这一配置变更，问题核心在于定位重启的触发源（是平台 HA 机制还是系统内部崩溃）。
结合故障分类基准，可能的故障分类如下：
① **虚拟机-033 虚拟机异常HA**
   判断依据：用户描述虚拟机“不定时自动重启”，且提及“开起了内存回收”（通常指 HCI 平台的内存复用功能）。内存复用在物理资源紧张时可能导致虚拟机响应极度缓慢，触发平台心跳超时，从而被平台 HA 机制强制重启。概率估计 ~60%
② **虚拟机-043 虚拟机内部软件使用异常**
   判断依据：若“内存回收”指 GuestOS 内部机制（如 Linux OOM），高负载下可能触发内核 Panic 导致系统自行重启；或虚拟机内部业务进程因资源竞争异常退出触发重启。概率估计 ~35%
③ 以上都不是（请补充症状描述）
请回复 ① ② 或 ③ 完成确认。</t>
        </is>
      </c>
    </row>
    <row r="384">
      <c r="A384" t="inlineStr">
        <is>
          <t>Q2026030901438</t>
        </is>
      </c>
      <c r="B384" t="inlineStr">
        <is>
          <t>HCI</t>
        </is>
      </c>
      <c r="C384" t="inlineStr">
        <is>
          <t>6.11.1_R1</t>
        </is>
      </c>
      <c r="D384" t="inlineStr">
        <is>
          <t>超融合内的一台虚拟机总是隔一段时间就自行关机</t>
        </is>
      </c>
      <c r="E384" t="inlineStr">
        <is>
          <t>虚拟机</t>
        </is>
      </c>
      <c r="F384" t="inlineStr">
        <is>
          <t>虚拟机开关机</t>
        </is>
      </c>
      <c r="G384" t="inlineStr">
        <is>
          <t>根据客户描述“虚拟机总是隔一段时间就自行关机”，这属于典型的非用户主动触发的状态异常变更。
结合故障分类基准，问题可能由**平台侧保护机制触发**或**虚拟机内部异常**导致，已为您筛选出最可能的 2 个候选分类：
根据 [虚拟机自行关机] 症状，您的问题可能属于以下故障之一，请确认：
① 虚拟机-033 虚拟机异常HA
   判断依据：虚拟机“自行关机”常见于平台检测到心跳丢失或宿主机故障后触发的 HA（高可用）保护动作，导致虚拟机在原主机被关闭并在其他主机重启（或仅关闭），概率估计 ~50%
② 虚拟机-042 虚拟机内部蓝屏
   判断依据：若虚拟机内部操作系统遭遇严重内核错误（蓝屏/Kernel Panic），可能会触发系统自动重启或关机策略，用户观察到现象即为周期性自行关闭，概率估计 ~40%
③ 以上都不是（请补充症状描述）
请回复 ① ② 或 ③ 完成确认。</t>
        </is>
      </c>
    </row>
    <row r="385">
      <c r="A385" t="inlineStr">
        <is>
          <t>Q2026030901059</t>
        </is>
      </c>
      <c r="B385" t="inlineStr">
        <is>
          <t>HCI</t>
        </is>
      </c>
      <c r="C385" t="inlineStr">
        <is>
          <t>HCI6.8.0_R1</t>
        </is>
      </c>
      <c r="D385" t="inlineStr">
        <is>
          <t xml:space="preserve"> 虚拟机重启，查原因</t>
        </is>
      </c>
      <c r="E385" t="inlineStr">
        <is>
          <t>虚拟机</t>
        </is>
      </c>
      <c r="F385" t="inlineStr">
        <is>
          <t>虚拟机开关机</t>
        </is>
      </c>
      <c r="G385" t="inlineStr">
        <is>
          <t>根据您提供的描述“虚拟机重启，查原因”，这通常意味着虚拟机发生了非预期的重新启动行为，或者是用户执行的重启操作出现了异常。
结合 HCI 故障分类基准，分析如下：
① 虚拟机-033 虚拟机异常HA
   判断依据：客户描述“查原因”，通常暗示重启是非人工主动触发的意外事件。在 HCI 中，虚拟机自动重启通常由 HA（高可用）机制触发（如宿主机故障或虚拟机卡死），符合“异常HA”特征。概率估计 ~70%
② 虚拟机-005 虚拟机重启失败
   判断依据：若客户意图是描述“尝试重启虚拟机但未成功”，仅简略表述为“虚拟机重启”，则可能属于重启操作失败。概率估计 ~25%
③ 以上都不是（请补充症状描述）
请回复 ① ② 或 ③ 完成确认。</t>
        </is>
      </c>
    </row>
    <row r="386">
      <c r="A386" t="inlineStr">
        <is>
          <t>Q2026030900964</t>
        </is>
      </c>
      <c r="B386" t="inlineStr">
        <is>
          <t>HCI</t>
        </is>
      </c>
      <c r="C386" t="inlineStr"/>
      <c r="D386" t="inlineStr">
        <is>
          <t>qcow2 新建虚拟机，选择已有磁盘，导入之后开机，一直卡在开机界面</t>
        </is>
      </c>
      <c r="E386" t="inlineStr">
        <is>
          <t>虚拟机</t>
        </is>
      </c>
      <c r="F386" t="inlineStr">
        <is>
          <t>虚拟机开关机</t>
        </is>
      </c>
      <c r="G386" t="inlineStr">
        <is>
          <t>根据您的描述“导入 qcow2 虚拟机后开机一直卡在开机界面”，这是典型的虚拟机启动流程异常。由于“卡在界面”可能对应平台层面的启动任务未结束或客户机内部的卡死，可能涉及以下故障分类，请确认：
① 虚拟机-003 虚拟机开机失败
   判断依据：用户执行“开机”操作后虚拟机未正常进入运行状态（卡在开机界面），属于开机流程未能成功完成的范畴，概率估计 ~60%
② 虚拟机-039 虚拟机卡死无响应
   判断依据：若虚拟机状态已变为“运行中”但控制台画面静止无反应，或表现为长时间的卡顿无响应，符合“卡死”特征，概率估计 ~35%
③ 以上都不是（请补充症状描述）
请回复 ① ② 或 ③ 完成确认。</t>
        </is>
      </c>
    </row>
    <row r="387">
      <c r="A387" t="inlineStr">
        <is>
          <t>Q2026030900759</t>
        </is>
      </c>
      <c r="B387" t="inlineStr">
        <is>
          <t>HCI</t>
        </is>
      </c>
      <c r="C387" t="inlineStr">
        <is>
          <t>HCI6.8.0_R2</t>
        </is>
      </c>
      <c r="D387" t="inlineStr">
        <is>
          <t>一个虚拟机卡在正在启动</t>
        </is>
      </c>
      <c r="E387" t="inlineStr">
        <is>
          <t>虚拟机</t>
        </is>
      </c>
      <c r="F387" t="inlineStr">
        <is>
          <t>虚拟机开关机</t>
        </is>
      </c>
      <c r="G387" t="inlineStr">
        <is>
          <t>根据用户描述“虚拟机卡在正在启动”，该症状属于虚拟机生命周期管理中的开机阶段异常。在HCI分类体系中，开机过程中的阻塞、超时或报错均归入“虚拟机开机失败”范畴。
根据 [虚拟机状态停滞在“正在启动”阶段]，您的问题可能属于以下故障之一，请确认：
① 虚拟机-003 虚拟机开机失败
   判断依据：虚拟机无法正常完成开机流程，状态持续处于“正在启动”，通常由存储IO阻塞、资源死锁或进程挂起导致，概率估计 ~90%
② 虚拟机-039 虚拟机卡死无响应
   判断依据：若虚拟机实际已进入系统内部但控制台无响应，可能被误判为启动卡住，概率估计 ~10%
③ 以上都不是（请补充症状描述）
请回复 ① ② 或 ③ 完成确认。</t>
        </is>
      </c>
    </row>
    <row r="388">
      <c r="A388" t="inlineStr">
        <is>
          <t>Q2026030900664</t>
        </is>
      </c>
      <c r="B388" t="inlineStr">
        <is>
          <t>HCI</t>
        </is>
      </c>
      <c r="C388" t="inlineStr">
        <is>
          <t>HCI6.11.1_R1</t>
        </is>
      </c>
      <c r="D388">
        <f>===海外工单信息====
    海外工单ID：20260308860004
    事件等级：Priority4
    产品线：HCI::6.11.1_R1
====客户信息====
    客户ID：1066
    客户MDM ID：null
    客户名称：Sejati Solutions
    客户区域：Malaysia
    客户类型：
====工单信息====
【一线负责人】：N/A
【TAC负责人】：Teoh Yew Shen
【TAC专家】陈平
研发责任人：暂无
【事件编号】Ticket#20260308860004
【客户名称】马来政府部门-MBI怡保市议会
【上升工单】
【版本信息】6.11.1R1
【问题描述】
-2副本VS环境，存储正在执行数据同步时，一个数据盘出现只读现象，目前有一个业务机无法拉起。
【目前进展】
-确认目前虚拟机无法拉起就是因为数据同步在未完成的情况下，好副本有个数据盘只读了
- 确认有一个盘处于只读状态
-后台查看问题是昨天下午16是左右发生的，出现了IO error现象
- 查看smartctl 信息磁盘并没有坏块。
- iostat 昨天sdc数据盘有一段时间持续保持100%使用率
-经确认，集群环境有四主机，由两台dell服务器和两台aserver组成，但只有两台主机创建了2副本虚拟存储，并且这两个都是aserver主机，型号aServer-2100
【述求】
需要尽快协助恢复虚拟机开机
【远程信息】
Anydesk
1141483565</f>
        <v/>
      </c>
      <c r="E388" t="inlineStr">
        <is>
          <t>虚拟机</t>
        </is>
      </c>
      <c r="F388" t="inlineStr">
        <is>
          <t>虚拟机开关机</t>
        </is>
      </c>
      <c r="G388" t="inlineStr">
        <is>
          <t>根据您提供的工单信息，问题核心现象为“数据盘处于只读状态”导致“虚拟机无法拉起”，且伴随IO error和磁盘高负载。这表明故障根源在存储层，直接影响了虚拟机业务。
请确认以下故障分类：
① **存储-017 虚拟存储状态异常（离线、服务异常、服务未启动等）**
   判断依据：日志显示“有一个盘处于只读状态”、“出现了IO error现象”，且“sdc数据盘有一段时间持续保持100%使用率”。磁盘只读属于典型的存储服务异常状态，导致数据无法写入进而引发虚拟机开机失败，概率估计 ~60%
② **虚拟机-003 虚拟机开机失败**
   判断依据：客户明确诉求“需要尽快协助恢复虚拟机开机”，且描述“目前有一个业务机无法拉起”。这是存储异常导致的直接业务影响，概率估计 ~40%
③ 以上都不是（请补充症状描述）
请回复 ① ② 或 ③ 完成确认。</t>
        </is>
      </c>
    </row>
    <row r="389">
      <c r="A389" t="inlineStr">
        <is>
          <t>Q2026030900228</t>
        </is>
      </c>
      <c r="B389" t="inlineStr">
        <is>
          <t>HCI</t>
        </is>
      </c>
      <c r="C389" t="inlineStr">
        <is>
          <t>6.10.0R2</t>
        </is>
      </c>
      <c r="D389" t="inlineStr">
        <is>
          <t>虚拟机异常重启协助处理</t>
        </is>
      </c>
      <c r="E389" t="inlineStr">
        <is>
          <t>虚拟机</t>
        </is>
      </c>
      <c r="F389" t="inlineStr">
        <is>
          <t>虚拟机开关机</t>
        </is>
      </c>
      <c r="G389" t="inlineStr">
        <is>
          <t>根据客户描述“虚拟机异常重启”，这通常指向底层基础设施故障或高可用机制触发。虚拟机本身异常重启（非人工预期）最常见的原因是宿主机发生故障导致HA切换，或者是宿主机自身异常重启。
由于缺乏具体日志确认是“主机先重启”还是“仅虚拟机重启”，以下是可能性最高的两个分类：
① 平台-005 主机离线或异常重启
   判断依据：虚拟机异常重启最常见原因是其所在的物理宿主机发生了异常重启或掉线，导致业务中断，概率估计 ~60%
② 虚拟机-033 虚拟机异常HA
   判断依据：若宿主机状态正常，可能是虚拟机被平台HA机制误触发重启，或因脑裂等原因导致的异常迁移重启，概率估计 ~30%
③ 以上都不是（请补充症状描述）
请回复 ① ② 或 ③ 完成确认。</t>
        </is>
      </c>
    </row>
    <row r="390">
      <c r="A390" t="inlineStr">
        <is>
          <t>Q2026030800075</t>
        </is>
      </c>
      <c r="B390" t="inlineStr">
        <is>
          <t>HCI</t>
        </is>
      </c>
      <c r="C390" t="inlineStr">
        <is>
          <t>HCI6.3.0_R1</t>
        </is>
      </c>
      <c r="D390" t="inlineStr">
        <is>
          <t xml:space="preserve">虚拟机关机后起不来 </t>
        </is>
      </c>
      <c r="E390" t="inlineStr">
        <is>
          <t>虚拟机</t>
        </is>
      </c>
      <c r="F390" t="inlineStr">
        <is>
          <t>虚拟机开关机</t>
        </is>
      </c>
      <c r="G390" t="inlineStr">
        <is>
          <t>根据您提供的故障现象"虚拟机关机后起不来"，该问题属于典型的虚拟机生命周期操作失败。
您的问题可能属于以下故障分类，请确认：
① 虚拟机-003 虚拟机开机失败
   判断依据：用户描述"关机后起不来"，即虚拟机在执行关机操作后，再次执行开机操作失败，符合"虚拟机开机失败"的定义，概率估计 ~95%
③ 以上都不是（请补充症状描述）
请回复 ① 或 ③ 完成确认。</t>
        </is>
      </c>
    </row>
    <row r="391">
      <c r="A391" t="inlineStr">
        <is>
          <t>Q2026030800065</t>
        </is>
      </c>
      <c r="B391" t="inlineStr">
        <is>
          <t>HCI</t>
        </is>
      </c>
      <c r="C391" t="inlineStr">
        <is>
          <t>HCI6.11.1_R1</t>
        </is>
      </c>
      <c r="D391">
        <f>===海外工单信息====
    海外工单ID：20260307860015
    事件等级：Priority3
    产品线：HCI::6.11.1_R1
====客户信息====
    客户ID：16092
    客户MDM ID：47c5936878606363b42e1aceb2baaf0d
    客户名称：Activos Mineros S.A.C.【Peru】
    客户区域：Peru
    客户类型：
====工单信息====
一线负责人：N/A
客服负责人：Teoh
研发负责人：lmt 王成晓
【事件编号】Ticket#20260307860015
【版本信息】HCI 6.11.1R1
【CTI专家】陈平
【业务影响】无，但是需要尽快拉起虚拟机迁移业务
【问题描述】
- 客户的一台业务机从vmware 通过scmt迁移后重启发现无法拉起，卡在启动流程
【目前进展】
启动流程失败在job disk-by-uuid-xxxx</f>
        <v/>
      </c>
      <c r="E391" t="inlineStr">
        <is>
          <t>虚拟机</t>
        </is>
      </c>
      <c r="F391" t="inlineStr">
        <is>
          <t>虚拟机开关机</t>
        </is>
      </c>
      <c r="G391" t="inlineStr">
        <is>
          <t>根据客户描述“虚拟机通过 SCMT 迁移后无法拉起，卡在启动流程”以及进展日志“启动流程失败在 job disk-by-uuid-xxxx”，问题明确指向虚拟机启动阶段的执行阻塞或失败。虽然背景涉及迁移，但当前直接故障表现为开机流程受阻。
您的问题可能属于以下故障之一，请确认：
① **虚拟机-003 虚拟机开机失败**
   判断依据：进展日志显示“启动流程失败在 job disk-by-uuid-xxxx”，且客户描述“无法拉起，卡在启动流程”，直接对应虚拟机开机阶段的故障现象，概率估计 ~70%
② **虚拟机-014 虚拟机scmt迁移失败**
   判断依据：故障发生在“vmware 通过scmt迁移后”的重启环节，disk-by-uuid 卡住可能意味着迁移后的磁盘映射或引导配置异常，导致迁移后的虚拟机不可用，概率估计 ~25%
③ 以上都不是（请补充症状描述）
请回复 ① ② 或 ③ 完成确认。</t>
        </is>
      </c>
    </row>
    <row r="392">
      <c r="A392" t="inlineStr">
        <is>
          <t>Q2026030700296</t>
        </is>
      </c>
      <c r="B392" t="inlineStr">
        <is>
          <t>HCI</t>
        </is>
      </c>
      <c r="C392" t="inlineStr">
        <is>
          <t>6.10.0R2</t>
        </is>
      </c>
      <c r="D392" t="inlineStr">
        <is>
          <t>centos虚拟机挂了 需要协助</t>
        </is>
      </c>
      <c r="E392" t="inlineStr">
        <is>
          <t>虚拟机</t>
        </is>
      </c>
      <c r="F392" t="inlineStr">
        <is>
          <t>虚拟机开关机</t>
        </is>
      </c>
      <c r="G392" t="inlineStr">
        <is>
          <t>根据客户描述“centos虚拟机挂了”，该描述较笼统，通常指虚拟机状态异常、业务中断或无响应。结合故障分类基准，可能的故障分类如下：
① 虚拟机-039 虚拟机卡死无响应
   判断依据：用户描述“挂了”最常对应虚拟机进程僵死、无响应或状态异常，符合“卡死无响应”特征，概率估计 ~60%
② 虚拟机-042 虚拟机内部蓝屏
   判断依据：若“挂了”指代操作系统层面崩溃（如Linux Kernel Panic），导致业务中断，概率估计 ~30%
③ 以上都不是（请补充症状描述）
请回复 ① ② 或 ③ 完成确认。</t>
        </is>
      </c>
    </row>
    <row r="393">
      <c r="A393" t="inlineStr">
        <is>
          <t>Q2026030700179</t>
        </is>
      </c>
      <c r="B393" t="inlineStr">
        <is>
          <t>HCI</t>
        </is>
      </c>
      <c r="C393" t="inlineStr">
        <is>
          <t>6.0.0R5</t>
        </is>
      </c>
      <c r="D393" t="inlineStr">
        <is>
          <t>虚拟机关机之后再次开机提示内存不足无法开机，实际还有可配置内存</t>
        </is>
      </c>
      <c r="E393" t="inlineStr">
        <is>
          <t>虚拟机</t>
        </is>
      </c>
      <c r="F393" t="inlineStr">
        <is>
          <t>虚拟机开关机</t>
        </is>
      </c>
      <c r="G393" t="inlineStr">
        <is>
          <t>根据您提供的故障现象“虚拟机开机提示内存不足无法开机”，这是典型的虚拟机启动操作失败场景。虽然您提到实际还有可配置内存，但故障表象属于开机流程受阻。
请您确认以下分类：
① 虚拟机-003 虚拟机开机失败
   判断依据：用户明确描述“虚拟机关机之后再次开机提示内存不足无法开机”，核心故障为虚拟机启动操作失败，概率估计 ~95%
② 以上都不是（请补充症状描述）
请回复 ① 或 ② 完成确认。</t>
        </is>
      </c>
    </row>
    <row r="394">
      <c r="A394" t="inlineStr">
        <is>
          <t>Q2026030700177</t>
        </is>
      </c>
      <c r="B394" t="inlineStr">
        <is>
          <t>HCI</t>
        </is>
      </c>
      <c r="C394" t="inlineStr"/>
      <c r="D394" t="inlineStr">
        <is>
          <t>虚拟机迁移到hci后  启动失败，进不了系统   需要协助看看</t>
        </is>
      </c>
      <c r="E394" t="inlineStr">
        <is>
          <t>虚拟机</t>
        </is>
      </c>
      <c r="F394" t="inlineStr">
        <is>
          <t>虚拟机开关机</t>
        </is>
      </c>
      <c r="G394" t="inlineStr">
        <is>
          <t>根据用户描述“虚拟机迁移到hci后 启动失败，进不了系统”，重点在于“启动失败”这一明确的动作结果。在HCI平台术语中，“启动失败”直接对应虚拟机开机过程中的异常，而“进不了系统”是开机失败的后果或具体表现（如蓝屏、黑屏或卡顿，通常由启动流程中断引起）。
您的问题可能属于以下故障之一，请确认：
① 虚拟机-003 虚拟机开机失败
   判断依据：用户明确描述“启动失败”。该分类涵盖虚拟机开机过程中因资源不足、存储不可访问、配置错误（如迁移后驱动不兼容）或License限制导致的无法正常加电运行情况，概率估计 ~90%
② 虚拟机-042 虚拟机内部蓝屏
   判断依据：用户提及“迁移后”及“进不了系统”。跨平台迁移常因驱动冲突导致系统启动时蓝屏，虽然用户未明确提及“蓝屏”字眼，但符合“进不了系统”的典型症状，概率估计 ~10%
③ 以上都不是（请补充症状描述）
请回复 ① ② 或 ③ 完成确认。</t>
        </is>
      </c>
    </row>
    <row r="395">
      <c r="A395" t="inlineStr">
        <is>
          <t>Q2026030700125</t>
        </is>
      </c>
      <c r="B395" t="inlineStr">
        <is>
          <t>HCI</t>
        </is>
      </c>
      <c r="C395" t="inlineStr"/>
      <c r="D395" t="inlineStr">
        <is>
          <t>【服务升级】：客户通过数字化服务平台发起工单，渠道无响应服务升级，请尽快联系处理！&amp;lt;br&amp;gt;【工单描述】：VMware虚拟机迁移至深信服HCI开机后无法正常进入操作系统</t>
        </is>
      </c>
      <c r="E395" t="inlineStr">
        <is>
          <t>虚拟机</t>
        </is>
      </c>
      <c r="F395" t="inlineStr">
        <is>
          <t>虚拟机开关机</t>
        </is>
      </c>
      <c r="G395" t="inlineStr">
        <is>
          <t>根据客户描述中明确提到的“VMware虚拟机迁移”这一关键场景，以及“开机后无法正常进入操作系统”这一典型迁移后兼容性故障症状，判断该问题属于 VMware 迁移相关故障。
根据 [客户描述明确指向 VMware 迁移场景]，您的问题可能属于以下故障之一，请确认：
① 虚拟机-021 虚拟机vmware纳管迁移失败
   判断依据：客户描述“VMware虚拟机迁移至深信服HCI开机后无法正常进入操作系统”，该症状属于典型的迁移后虚拟机无法启动或系统不兼容问题，概率估计 ~95%
② 以上都不是（请补充症状描述）
请回复 ① 或 ② 完成确认。</t>
        </is>
      </c>
    </row>
    <row r="396">
      <c r="A396" t="inlineStr">
        <is>
          <t>Q2026030700018</t>
        </is>
      </c>
      <c r="B396" t="inlineStr">
        <is>
          <t>HCI</t>
        </is>
      </c>
      <c r="C396" t="inlineStr"/>
      <c r="D396" t="inlineStr">
        <is>
          <t>一台虚拟机无法开机，提示磁盘镜像损坏</t>
        </is>
      </c>
      <c r="E396" t="inlineStr">
        <is>
          <t>虚拟机</t>
        </is>
      </c>
      <c r="F396" t="inlineStr">
        <is>
          <t>虚拟机开关机</t>
        </is>
      </c>
      <c r="G396" t="inlineStr">
        <is>
          <t>根据您提供的“虚拟机无法开机，提示磁盘镜像损坏”描述，该问题属于典型的虚拟机生命周期管理异常，故障分类判断如下：
① 虚拟机-003 虚拟机开机失败
   判断依据：用户明确描述“无法开机”，且直接报错提示“磁盘镜像损坏”，符合虚拟机开机失败场景，概率估计 ~95%
③ 以上都不是（请补充症状描述）
请回复 ① 或 ③ 完成确认。</t>
        </is>
      </c>
    </row>
    <row r="397">
      <c r="A397" t="inlineStr">
        <is>
          <t>Q2026030601673</t>
        </is>
      </c>
      <c r="B397" t="inlineStr">
        <is>
          <t>HCI</t>
        </is>
      </c>
      <c r="C397" t="inlineStr">
        <is>
          <t>HCI6.3.0R1</t>
        </is>
      </c>
      <c r="D397">
        <f>===海外工单信息====
    海外工单ID：20260306860098
    事件等级：Priority3
    产品线：HCI::6.3.0R1
====客户信息====
    客户ID：55
    客户MDM ID：null
    客户名称：Punjab Information Technology Board (PITB)
    客户区域：Pakistan
    客户类型：null
====工单信息====
一线负责人：N/A
客服负责人：Fernando, Teoh
研发负责人：龙宇金(17106)
【事件编号】
【版本信息】HCI 6.9.0
【CTI专家】陈平
【业务影响】是
【问题描述】
- 客户的一台业务机重启后发现无法拉起
-目前怀疑是磁盘满了导致虚拟机无法正常拉起
-虚拟机系统： Oracle Linux 8
【目前进展】
-尝试进入grub可是貌似虚拟机无响应
-HCI页面看虚拟机磁盘满了，不知道会不会是这个导致的</f>
        <v/>
      </c>
      <c r="E397" t="inlineStr">
        <is>
          <t>虚拟机</t>
        </is>
      </c>
      <c r="F397" t="inlineStr">
        <is>
          <t>虚拟机开关机</t>
        </is>
      </c>
      <c r="G397" t="inlineStr">
        <is>
          <t>根据您提供的工单信息，客户描述虚拟机重启后“无法拉起”，并怀疑是磁盘空间满导致，同时提及尝试进入 grub 无响应。这属于典型的虚拟机运行状态异常问题。
基于关键信息“无法拉起”（开机失败）和“磁盘满了”（潜在根因），建议分类如下：
① 虚拟机-003 虚拟机开机失败
   判断依据：客户明确描述“业务机重启后发现无法拉起”，直接对应虚拟机无法正常启动运行的状态，概率估计 ~60%
② 虚拟机-044 虚拟机内部空间或文件系统异常
   判断依据：客户怀疑“磁盘满了导致虚拟机无法正常拉起”且“HCI页面看虚拟机磁盘满了”，若虚拟机因系统盘满导致启动卡死在 Grub 或无法引导，符合此分类，概率估计 ~35%
③ 以上都不是（请补充症状描述）
请回复 ① ② 或 ③ 完成确认。</t>
        </is>
      </c>
    </row>
    <row r="398">
      <c r="A398" t="inlineStr">
        <is>
          <t>Q2026030601625</t>
        </is>
      </c>
      <c r="B398" t="inlineStr">
        <is>
          <t>HCI</t>
        </is>
      </c>
      <c r="C398" t="inlineStr"/>
      <c r="D398" t="inlineStr">
        <is>
          <t>服务器添加内存后，服务器开机后，有虚拟机无法开机</t>
        </is>
      </c>
      <c r="E398" t="inlineStr">
        <is>
          <t>虚拟机</t>
        </is>
      </c>
      <c r="F398" t="inlineStr">
        <is>
          <t>虚拟机开关机</t>
        </is>
      </c>
      <c r="G398" t="inlineStr">
        <is>
          <t>根据您的描述“服务器添加内存后，服务器开机后，有虚拟机无法开机”，核心故障表现为虚拟机生命周期操作失败。
您的问题可能属于以下故障之一，请确认：
① **虚拟机-003 虚拟机开机失败**
   判断依据：用户明确描述“有虚拟机无法开机”，这是最直接的故障表象。硬件变更（添加内存）和服务器重启可能导致资源锁定、授权变更或存储链路异常，进而引发虚拟机开机失败。概率估计 ~90%
② **虚拟机-032 虚拟机HA不达预期**
   判断依据：服务器关机添加内存属于硬件维护场景，若集群开启了HA，原运行在该主机上的虚拟机应自动迁移或重启。若用户看到的“无法开机”是指虚拟机未自动恢复或处于异常状态，可能属于HA机制问题。概率估计 ~10%
③ 以上都不是（请补充症状描述）
请回复 ① ② 或 ③ 完成确认。</t>
        </is>
      </c>
    </row>
    <row r="399">
      <c r="A399" t="inlineStr">
        <is>
          <t>Q2026030601620</t>
        </is>
      </c>
      <c r="B399" t="inlineStr">
        <is>
          <t>HCI</t>
        </is>
      </c>
      <c r="C399" t="inlineStr"/>
      <c r="D399" t="inlineStr">
        <is>
          <t>eds3主机集群挂lun给vmware使用，在扩容磁盘和内存，重启了服务器（反馈未等数据同步就重启了下一台），目前反馈vmware上虚拟机都无法使用</t>
        </is>
      </c>
      <c r="E399" t="inlineStr">
        <is>
          <t>虚拟机</t>
        </is>
      </c>
      <c r="F399" t="inlineStr">
        <is>
          <t>虚拟机开关机</t>
        </is>
      </c>
      <c r="G399" t="inlineStr">
        <is>
          <t>根据您提供的“eds3主机集群”、“重启未等数据同步”及“VMware虚拟机无法使用”等关键信息，这属于典型的分布式存储维护操作不当导致的存储域故障。
请确认以下分类：
① 存储-009 数据副本失控或脑裂
   判断依据：客户明确提及“未等数据同步就重启了下一台”，在分布式存储集群中，连续重启节点未等待数据同步完成，极易破坏数据一致性或导致仲裁丢失，引发脑裂或副本失控，进而导致存储服务不可用，使VMware虚拟机无法访问存储而宕机。概率估计 ~70%
② 存储-019 虚拟存储状态异常（离线、服务异常、服务未启动等）
   判断依据：故障现象为“虚拟机都无法使用”，直接表明后端存储LUN可能已处于离线或服务异常状态，无法向VMware提供存储资源。概率估计 ~30%
③ 以上都不是（请补充症状描述）
请回复 ① ② 或 ③ 完成确认。</t>
        </is>
      </c>
    </row>
    <row r="400">
      <c r="A400" t="inlineStr">
        <is>
          <t>Q2026030601611</t>
        </is>
      </c>
      <c r="B400" t="inlineStr">
        <is>
          <t>HCI</t>
        </is>
      </c>
      <c r="C400" t="inlineStr"/>
      <c r="D400" t="inlineStr">
        <is>
          <t>his虚拟机重启后无法进入系统，自动进入维护模式了。</t>
        </is>
      </c>
      <c r="E400" t="inlineStr">
        <is>
          <t>虚拟机</t>
        </is>
      </c>
      <c r="F400" t="inlineStr">
        <is>
          <t>虚拟机开关机</t>
        </is>
      </c>
      <c r="G400" t="inlineStr">
        <is>
          <t>根据客户描述“虚拟机重启后无法进入系统”及“自动进入维护模式”的现象，该问题属于虚拟机生命周期异常。
故障可能原因分析：
1.  **虚拟机开机失败**：最直接对应“无法进入系统”的症状，可能是引导文件丢失、系统损坏或配置异常导致启动流程中断。
2.  **虚拟机内部蓝屏**：Windows 系统重启后无法进入系统的常见表现，通常伴随系统崩溃或蓝屏代码。
请确认以下最匹配的故障分类：
① **虚拟机-003 虚拟机开机失败**
   判断依据：客户描述“重启后无法进入系统”，表明虚拟机启动流程未能正常引导至操作系统，符合开机失败特征，概率估计 ~60%
② **虚拟机-042 虚拟机内部蓝屏**
   判断依据：HIS 业务虚拟机通常为 Windows 系统，重启后无法进入系统常见于系统崩溃蓝屏（BSOD），概率估计 ~30%
③ 以上都不是（请补充症状描述）
请回复 ① ② 或 ③ 完成确认。</t>
        </is>
      </c>
    </row>
    <row r="401">
      <c r="A401" t="inlineStr">
        <is>
          <t>Q2026030601242</t>
        </is>
      </c>
      <c r="B401" t="inlineStr">
        <is>
          <t>HCI</t>
        </is>
      </c>
      <c r="C401" t="inlineStr">
        <is>
          <t>6.7.0_R3</t>
        </is>
      </c>
      <c r="D401" t="inlineStr">
        <is>
          <t>一台虚拟机开机失败提示镜像繁忙，需要协助处理</t>
        </is>
      </c>
      <c r="E401" t="inlineStr">
        <is>
          <t>虚拟机</t>
        </is>
      </c>
      <c r="F401" t="inlineStr">
        <is>
          <t>虚拟机开关机</t>
        </is>
      </c>
      <c r="G401" t="inlineStr">
        <is>
          <t>根据您的描述“虚拟机开机失败提示镜像繁忙”，故障现象明确指向虚拟机生命周期管理问题。镜像繁忙通常意味着磁盘卷被快照、备份或迁移等任务锁定，导致开机时无法获取独占锁。
您的问题可能属于以下故障之一，请确认：
① 虚拟机-003 虚拟机开机失败
   判断依据：客户明确描述“虚拟机开机失败”，报错“镜像繁忙”属于开机流程中存储卷锁定异常导致的典型开机失败场景，概率估计 ~95%
② 虚拟机-024 虚拟机快照失败
   判断依据：若“镜像繁忙”是由于先前快照任务未完成或卡死导致残留锁，进而引发开机失败，根源可能指向快照异常，概率估计 ~30%
③ 以上都不是（请补充症状描述）
请回复 ① ② 或 ③ 完成确认。</t>
        </is>
      </c>
    </row>
    <row r="402">
      <c r="A402" t="inlineStr">
        <is>
          <t>Q2026030601193</t>
        </is>
      </c>
      <c r="B402" t="inlineStr">
        <is>
          <t>HCI</t>
        </is>
      </c>
      <c r="C402" t="inlineStr">
        <is>
          <t>6.10.0_R2</t>
        </is>
      </c>
      <c r="D402" t="inlineStr">
        <is>
          <t>昨天进行了版本升级的操作，今天查看有卡主的数据同步任务，有部分非核心业务虚拟机无法正常拉起</t>
        </is>
      </c>
      <c r="E402" t="inlineStr">
        <is>
          <t>虚拟机</t>
        </is>
      </c>
      <c r="F402" t="inlineStr">
        <is>
          <t>虚拟机开关机</t>
        </is>
      </c>
      <c r="G402" t="inlineStr">
        <is>
          <t>根据您的描述，问题涉及“版本升级后数据同步任务卡住”以及“虚拟机无法启动”两个核心现象。这两个现象通常存在因果关系（存储同步异常导致虚拟机无法拉起），但也可能属于独立故障。为了精准匹配知识库，请确认以下最符合您排查意图的选项：
① 存储-008 数据同步失败或卡住
   判断依据：描述中明确提到“有卡主的数据同步任务”，这是升级后常见的存储层故障，概率估计 ~60%
② 虚拟机-003 虚拟机开机失败
   判断依据：描述中提到“部分非核心业务虚拟机无法正常拉起”，属于业务侧直接影响，概率估计 ~35%
③ 以上都不是（请补充症状描述）
请回复 ① ② 或 ③ 完成确认。</t>
        </is>
      </c>
    </row>
    <row r="403">
      <c r="A403" t="inlineStr">
        <is>
          <t>Q2026030600795</t>
        </is>
      </c>
      <c r="B403" t="inlineStr">
        <is>
          <t>HCI</t>
        </is>
      </c>
      <c r="C403" t="inlineStr"/>
      <c r="D403" t="inlineStr">
        <is>
          <t>6.11.3b 虚拟机无法开机</t>
        </is>
      </c>
      <c r="E403" t="inlineStr">
        <is>
          <t>虚拟机</t>
        </is>
      </c>
      <c r="F403" t="inlineStr">
        <is>
          <t>虚拟机开关机</t>
        </is>
      </c>
      <c r="G403" t="inlineStr">
        <is>
          <t>根据客户描述“虚拟机无法开机”，问题直接指向虚拟机生命周期管理中的启动环节，您的问题可能属于以下故障之一，请确认：
① **虚拟机-003 虚拟机开机失败**
   判断依据：客户直接描述“虚拟机无法开机”，精准匹配虚拟机生命周期故障分类，概率估计 ~99%
③ 以上都不是（请补充症状描述）
请回复 ① 或 ③ 完成确认。</t>
        </is>
      </c>
    </row>
    <row r="404">
      <c r="A404" t="inlineStr">
        <is>
          <t>Q2026030600161</t>
        </is>
      </c>
      <c r="B404" t="inlineStr">
        <is>
          <t>HCI</t>
        </is>
      </c>
      <c r="C404" t="inlineStr">
        <is>
          <t>HCI6.9.0</t>
        </is>
      </c>
      <c r="D404" t="inlineStr">
        <is>
          <t>有一台主机重启，整个集群虚拟机挂起，3台异常关机重启，需要看下什么原因</t>
        </is>
      </c>
      <c r="E404" t="inlineStr">
        <is>
          <t>虚拟机</t>
        </is>
      </c>
      <c r="F404" t="inlineStr">
        <is>
          <t>虚拟机开关机</t>
        </is>
      </c>
      <c r="G404" t="inlineStr">
        <is>
          <t>根据您提供的工单信息，故障现象集中在“主机重启”以及由此引发的虚拟机状态异常（挂起、异常重启）。您提到“有一台主机重启”是整个故障链的起始点或核心事件，且虚拟机的大面积挂起可能与该主机角色（如管理节点）或存储心跳丢失有关。
这属于高置信度的单一候选场景，建议分类如下：
根据 [核心故障现象：主机异常重启]，您的问题可能属于以下故障之一，请确认：
① 平台-005 主机离线或异常重启
   判断依据：用户明确描述“有一台主机重启”，且后续虚拟机挂起、异常关机重启极有可能是主机重启导致的连锁反应（如管理节点中断、HA触发或存储脑裂），排查主机重启原因是定位故障的关键，概率估计 ~95%
③ 以上都不是（请补充症状描述）
请回复 ① 或 ③ 完成确认。</t>
        </is>
      </c>
    </row>
    <row r="405">
      <c r="A405" t="inlineStr">
        <is>
          <t>Q2026030600144</t>
        </is>
      </c>
      <c r="B405" t="inlineStr">
        <is>
          <t>HCI</t>
        </is>
      </c>
      <c r="C405" t="inlineStr"/>
      <c r="D405" t="inlineStr">
        <is>
          <t>虚拟机开机提示文件丢失，无法开机需要协助处理</t>
        </is>
      </c>
      <c r="E405" t="inlineStr">
        <is>
          <t>虚拟机</t>
        </is>
      </c>
      <c r="F405" t="inlineStr">
        <is>
          <t>虚拟机开关机</t>
        </is>
      </c>
      <c r="G405" t="inlineStr">
        <is>
          <t>根据您描述的“虚拟机开机提示文件丢失，无法开机”这一现象，故障定位于虚拟机域。错误信息明确指向文件缺失，这是导致开机失败的最直接原因。
请确认以下最匹配的故障分类：
① **虚拟机-003 虚拟机开机失败**
   判断依据：客户明确描述“无法开机”，这是虚拟机生命周期管理中最直接的失败状态，概率估计 ~60%
② **虚拟机-048 虚拟机数据丢失**
   判断依据：客户明确提示“文件丢失”，这通常意味着虚拟磁盘文件或配置文件缺失，属于数据完整性问题，概率估计 ~35%
③ 以上都不是（请补充症状描述）
请回复 ① ② 或 ③ 完成确认。</t>
        </is>
      </c>
    </row>
    <row r="406">
      <c r="A406" t="inlineStr">
        <is>
          <t>Q2026030501453</t>
        </is>
      </c>
      <c r="B406" t="inlineStr">
        <is>
          <t>HCI</t>
        </is>
      </c>
      <c r="C406" t="inlineStr"/>
      <c r="D406" t="inlineStr">
        <is>
          <t>超融合ubuntu虚拟机重启与hci平台时间不同步，需要协助。</t>
        </is>
      </c>
      <c r="E406" t="inlineStr">
        <is>
          <t>虚拟机</t>
        </is>
      </c>
      <c r="F406" t="inlineStr">
        <is>
          <t>虚拟机开关机</t>
        </is>
      </c>
      <c r="G406" t="inlineStr">
        <is>
          <t>根据您描述的“虚拟机重启后与平台时间不同步”这一现象，这通常涉及虚拟机内部时间同步服务（如NTP/Chrony）配置或KVM时钟同步机制问题。
根据 [客户描述聚焦于虚拟机内部时间同步状态]，您的问题可能属于以下故障之一，请确认：
① 虚拟机-043 虚拟机内部软件使用异常
   判断依据：客户描述“ubuntu虚拟机重启与hci平台时间不同步”，时间同步服务（NTP/Chrony）属于虚拟机内部操作系统软件配置范畴，概率估计 ~90%
② 以上都不是（请补充症状描述）
请回复 ① 或 ② 完成确认。</t>
        </is>
      </c>
    </row>
    <row r="407">
      <c r="A407" t="inlineStr">
        <is>
          <t>Q2026030501423</t>
        </is>
      </c>
      <c r="B407" t="inlineStr">
        <is>
          <t>HCI</t>
        </is>
      </c>
      <c r="C407" t="inlineStr">
        <is>
          <t>6.10.0_R1</t>
        </is>
      </c>
      <c r="D407" t="inlineStr">
        <is>
          <t>HCI ，安装ubuntu 安装Linux桌面 触发异常重启 需要工程师协助排查。</t>
        </is>
      </c>
      <c r="E407" t="inlineStr">
        <is>
          <t>虚拟机</t>
        </is>
      </c>
      <c r="F407" t="inlineStr">
        <is>
          <t>虚拟机开关机</t>
        </is>
      </c>
      <c r="G407" t="inlineStr">
        <is>
          <t>根据您的描述“安装ubuntu 安装Linux桌面 触发异常重启”，问题可能属于以下故障之一，请确认：
① 平台-005 主机离线或异常重启
   判断依据：描述中明确出现“异常重启”关键词，且安装图形化桌面负载较高易触发宿主机内核崩溃或硬件重启，概率估计 ~70%
② 虚拟机-033 虚拟机异常HA
   判断依据：若“异常重启”指代虚拟机反复重启，可能是由平台 HA 机制误触发或异常导致，概率估计 ~20%
③ 以上都不是（请补充症状描述）
请回复 ① ② 或 ③ 完成确认。</t>
        </is>
      </c>
    </row>
    <row r="408">
      <c r="A408" t="inlineStr">
        <is>
          <t>Q2026030501366</t>
        </is>
      </c>
      <c r="B408" t="inlineStr">
        <is>
          <t>HCI</t>
        </is>
      </c>
      <c r="C408" t="inlineStr">
        <is>
          <t>HCI6.10.0_R1</t>
        </is>
      </c>
      <c r="D408" t="inlineStr">
        <is>
          <t>虚拟机开机提示计算内存不足，需要协助处理</t>
        </is>
      </c>
      <c r="E408" t="inlineStr">
        <is>
          <t>虚拟机</t>
        </is>
      </c>
      <c r="F408" t="inlineStr">
        <is>
          <t>虚拟机开关机</t>
        </is>
      </c>
      <c r="G408" t="inlineStr">
        <is>
          <t>根据客户描述的“虚拟机开机提示计算内存不足”，您的问题可能属于以下故障之一，请确认：
① 虚拟机-003 虚拟机开机失败
   判断依据：用户明确描述“虚拟机开机”操作受阻，且提示“内存不足”，符合虚拟机开机失败中“宿主资源不足（CPU/内存）”的典型错误模式。概率估计 ~95%
③ 以上都不是（请补充症状描述）
请回复 ① 或 ③ 完成确认。</t>
        </is>
      </c>
    </row>
    <row r="409">
      <c r="A409" t="inlineStr">
        <is>
          <t>Q2026030500895</t>
        </is>
      </c>
      <c r="B409" t="inlineStr">
        <is>
          <t>HCI</t>
        </is>
      </c>
      <c r="C409" t="inlineStr">
        <is>
          <t>6.3.0_R2</t>
        </is>
      </c>
      <c r="D409" t="inlineStr">
        <is>
          <t>【服务升级】：服务商通过数字化服务平台发起服务升级，请尽快联系服务商处理！&lt;br&gt;【工单描述】：虚机重启提示：错误信息:虚拟机镜像忙，正在执行其他操作!【Windows】</t>
        </is>
      </c>
      <c r="E409" t="inlineStr">
        <is>
          <t>虚拟机</t>
        </is>
      </c>
      <c r="F409" t="inlineStr">
        <is>
          <t>虚拟机开关机</t>
        </is>
      </c>
      <c r="G409" t="inlineStr">
        <is>
          <t>根据您提供的工单描述，关键信息为“虚机重启提示”及报错“虚拟机镜像忙，正在执行其他操作”，最匹配的分类如下：
① 虚拟机-005 虚拟机重启失败
   判断依据：客户描述明确指出操作动作为“重启”，且系统反馈“错误信息:虚拟机镜像忙”，符合虚拟机重启失败的特征。该错误通常因虚拟机正在执行快照、备份等并发任务导致重启操作被阻塞。概率估计 ~95%
③ 以上都不是（请补充症状描述）
请回复 ① 或 ③ 完成确认。</t>
        </is>
      </c>
    </row>
    <row r="410">
      <c r="A410" t="inlineStr">
        <is>
          <t>Q2026030500379</t>
        </is>
      </c>
      <c r="B410" t="inlineStr">
        <is>
          <t>HCI</t>
        </is>
      </c>
      <c r="C410" t="inlineStr">
        <is>
          <t>与版本无关</t>
        </is>
      </c>
      <c r="D410" t="inlineStr">
        <is>
          <t>虚拟机反馈重启协助处理，有业务影响</t>
        </is>
      </c>
      <c r="E410" t="inlineStr">
        <is>
          <t>虚拟机</t>
        </is>
      </c>
      <c r="F410" t="inlineStr">
        <is>
          <t>虚拟机开关机</t>
        </is>
      </c>
      <c r="G410" t="inlineStr">
        <is>
          <t>根据用户描述“虚拟机反馈重启协助处理”，关键词聚焦于“重启”操作或现象。
① 虚拟机-005 虚拟机重启失败
   判断依据：用户描述“重启协助处理”，在运维语境中通常指用户发起的重启操作无法完成、卡住或报错，概率估计 ~60%
② 虚拟机-033 虚拟机异常HA
   判断依据：若描述意指虚拟机发生了非预期的自动重启（业务中断），则属于异常HA或高可用触发范畴，概率估计 ~30%
③ 以上都不是（请补充症状描述）
请回复 ① ② 或 ③ 完成确认。</t>
        </is>
      </c>
    </row>
    <row r="411">
      <c r="A411" t="inlineStr">
        <is>
          <t>Q2026030401843</t>
        </is>
      </c>
      <c r="B411" t="inlineStr">
        <is>
          <t>HCI</t>
        </is>
      </c>
      <c r="C411" t="inlineStr">
        <is>
          <t>HCI6.10.0_R2</t>
        </is>
      </c>
      <c r="D411" t="inlineStr">
        <is>
          <t>超融合升级，滚动升级，发现资源不够，升级取消了，现在迁移虚拟机提示远程虚拟机开机失败</t>
        </is>
      </c>
      <c r="E411" t="inlineStr">
        <is>
          <t>虚拟机</t>
        </is>
      </c>
      <c r="F411" t="inlineStr">
        <is>
          <t>虚拟机开关机</t>
        </is>
      </c>
      <c r="G411" t="inlineStr">
        <is>
          <t>根据您的描述，故障发生在虚拟机迁移过程中，且明确报错“远程虚拟机开机失败”，同时伴随“资源不够”的背景。这最符合**目标端主机因资源不足导致虚拟机无法开机**的场景，通常直接归类为开机失败；同时也可能归属于跨集群迁移失败范畴。请确认：
① 虚拟机-003 虚拟机开机失败
   判断依据：报错信息明确提示“远程虚拟机开机失败”，且用户自述背景为“资源不够”，符合目标主机资源不足导致虚拟机无法启动的典型特征，概率估计 ~60%
② 虚拟机-020 虚拟机跨集群冷迁移失败
   判断依据：故障发生在“迁移虚拟机”操作期间，报错中出现“远程虚拟机”字样，通常指向跨集群迁移场景下的目标端异常，概率估计 ~35%
③ 以上都不是（请补充症状描述）
请回复 ① ② 或 ③ 完成确认。</t>
        </is>
      </c>
    </row>
    <row r="412">
      <c r="A412" t="inlineStr">
        <is>
          <t>Q2026030401431</t>
        </is>
      </c>
      <c r="B412" t="inlineStr">
        <is>
          <t>HCI</t>
        </is>
      </c>
      <c r="C412" t="inlineStr">
        <is>
          <t>6.10.0_R2</t>
        </is>
      </c>
      <c r="D412" t="inlineStr">
        <is>
          <t>虚拟机启动后 隔一段时间自动内部关闭虚拟机</t>
        </is>
      </c>
      <c r="E412" t="inlineStr">
        <is>
          <t>虚拟机</t>
        </is>
      </c>
      <c r="F412" t="inlineStr">
        <is>
          <t>虚拟机开关机</t>
        </is>
      </c>
      <c r="G412" t="inlineStr">
        <is>
          <t>根据客户描述“虚拟机启动后隔一段时间自动内部关闭”，故障特征表现为虚拟机运行过程中非人为干预的自动关机。这通常指向虚拟机内部触发（如业务脚本、电源计划）或平台高可用机制误判。
您的问题可能属于以下故障之一，请确认：
① **虚拟机-043 虚拟机内部软件使用异常**
   判断依据：客户明确指出是“内部关闭”，大概率是虚拟机内部的业务程序、定时任务或电源策略触发了关机指令，概率估计 ~60%
② **虚拟机-033 虚拟机异常HA**
   判断依据：若平台检测到心跳丢失或资源压力，可能触发 HA 机制导致虚拟机被强制关闭或重启，用户感知为自动关闭，概率估计 ~30%
③ 以上都不是（请补充症状描述）
请回复 ① ② 或 ③ 完成确认。</t>
        </is>
      </c>
    </row>
    <row r="413">
      <c r="A413" t="inlineStr">
        <is>
          <t>Q2026030401333</t>
        </is>
      </c>
      <c r="B413" t="inlineStr">
        <is>
          <t>HCI</t>
        </is>
      </c>
      <c r="C413" t="inlineStr"/>
      <c r="D413" t="inlineStr">
        <is>
          <t>超融合平台有多台虚拟机出现自动关闭的情况，需要协助排查原因。</t>
        </is>
      </c>
      <c r="E413" t="inlineStr">
        <is>
          <t>虚拟机</t>
        </is>
      </c>
      <c r="F413" t="inlineStr">
        <is>
          <t>虚拟机开关机</t>
        </is>
      </c>
      <c r="G413" t="inlineStr">
        <is>
          <t>根据客户描述“超融合平台有多台虚拟机出现自动关闭”，该现象通常涉及虚拟机高可用机制触发或底层主机故障，而非单一虚拟机业务异常。
结合故障分类基准，建议确认如下：
① 虚拟机-033 虚拟机异常HA
   判断依据：多台虚拟机同时“自动关闭”是HA（高可用）机制的典型表现，可能是集群感知到主机故障或存储链路中断后触发的保护性关闭或迁移行为，概率估计 ~60%
② 平台-005 主机离线或异常重启
   判断依据：若宿主主机发生掉电、重启或网络中断，会导致该主机上的所有虚拟机瞬间变为“关闭”状态，符合“多台虚拟机自动关闭”的现象，概率估计 ~35%
③ 以上都不是（请补充症状描述）
请回复 ① ② 或 ③ 完成确认。</t>
        </is>
      </c>
    </row>
    <row r="414">
      <c r="A414" t="inlineStr">
        <is>
          <t>Q2026030401296</t>
        </is>
      </c>
      <c r="B414" t="inlineStr">
        <is>
          <t>HCI</t>
        </is>
      </c>
      <c r="C414" t="inlineStr">
        <is>
          <t>6.10.0_R2</t>
        </is>
      </c>
      <c r="D414" t="inlineStr">
        <is>
          <t>断电重启后，有虚拟机开机提示内存不足，反馈实际主机剩余有内存，需要协助处理</t>
        </is>
      </c>
      <c r="E414" t="inlineStr">
        <is>
          <t>虚拟机</t>
        </is>
      </c>
      <c r="F414" t="inlineStr">
        <is>
          <t>虚拟机开关机</t>
        </is>
      </c>
      <c r="G414" t="inlineStr">
        <is>
          <t>根据客户描述“断电重启后，虚拟机开机提示内存不足，但主机实际剩余有内存”，该问题核心在于虚拟机启动阶段的资源分配失败。
请确认以下故障分类：
① 虚拟机-003 虚拟机开机失败
   判断依据：客户明确描述“虚拟机开机提示内存不足”，属于典型的虚拟机启动失败场景。虽然主机显示有剩余内存，但可能存在内存碎片化、NUMA策略限制或HA预留资源导致无法分配，核心症状为开机失败，概率估计 ~95%
② 平台-020 主机CPU或内存使用率过高告警
   判断依据：客户反馈“实际主机剩余有内存”，暗示可能存在资源监控与实际分配不符的情况，或资源被其他进程/预留占用，导致平台层面的资源告警影响开机，概率估计 ~5%
③ 以上都不是（请补充症状描述）
请回复 ① ② 或 ③ 完成确认。</t>
        </is>
      </c>
    </row>
    <row r="415">
      <c r="A415" t="inlineStr">
        <is>
          <t>Q2026030401230</t>
        </is>
      </c>
      <c r="B415" t="inlineStr">
        <is>
          <t>HCI</t>
        </is>
      </c>
      <c r="C415" t="inlineStr">
        <is>
          <t>6.11.1_R1</t>
        </is>
      </c>
      <c r="D415" t="inlineStr">
        <is>
          <t xml:space="preserve">几百台虚拟机内部重启
</t>
        </is>
      </c>
      <c r="E415" t="inlineStr">
        <is>
          <t>虚拟机</t>
        </is>
      </c>
      <c r="F415" t="inlineStr">
        <is>
          <t>虚拟机开关机</t>
        </is>
      </c>
      <c r="G415" t="inlineStr">
        <is>
          <t>根据 [大规模虚拟机重启现象] 分析，您的问题可能属于以下故障之一，请确认：
① 虚拟机-033 虚拟机异常HA
   判断依据：客户描述“几百台虚拟机”同时重启，极大概率是底层宿主机故障触发了平台 HA（高可用）机制，导致虚拟机在集群内重拉起，概率估计 ~60%
② 虚拟机-042 虚拟机内部蓝屏
   判断依据：若平台层面无宿主机故障记录，且现象确为“内部重启”，可能是 Guest OS 因底层存储/网络中断导致内核崩溃（蓝屏）后自动重启，概率估计 ~30%
③ 以上都不是（请补充症状描述）
请回复 ① ② 或 ③ 完成确认。</t>
        </is>
      </c>
    </row>
    <row r="416">
      <c r="A416" t="inlineStr">
        <is>
          <t>Q2026030400856</t>
        </is>
      </c>
      <c r="B416" t="inlineStr">
        <is>
          <t>HCI</t>
        </is>
      </c>
      <c r="C416" t="inlineStr"/>
      <c r="D416" t="inlineStr">
        <is>
          <t>3台ubantu 24.10的系统，重启就进不去了</t>
        </is>
      </c>
      <c r="E416" t="inlineStr">
        <is>
          <t>虚拟机</t>
        </is>
      </c>
      <c r="F416" t="inlineStr">
        <is>
          <t>虚拟机开关机</t>
        </is>
      </c>
      <c r="G416" t="inlineStr">
        <is>
          <t>根据您的描述“3台ubuntu 24.10系统重启后进不去”，问题发生在重启操作后，可能涉及平台层面的重启任务失败或操作系统层面的启动异常。请确认故障分类：
① 虚拟机-005 虚拟机重启失败
   判断依据：客户明确提到执行了“重启”操作后虚拟机无法进入，符合重启任务失败或重启后状态异常的特征，概率估计 ~55%
② 虚拟机-041 虚拟机内部黑屏
   判断依据：若虚拟机电源状态为“运行中”但无法进入系统，通常表现为控制台黑屏或卡在启动界面，符合“进不去”的直观症状，概率估计 ~40%
③ 以上都不是（请补充症状描述）
请回复 ① ② 或 ③ 完成确认。</t>
        </is>
      </c>
    </row>
    <row r="417">
      <c r="A417" t="inlineStr">
        <is>
          <t>Q2026030400645</t>
        </is>
      </c>
      <c r="B417" t="inlineStr">
        <is>
          <t>HCI</t>
        </is>
      </c>
      <c r="C417" t="inlineStr">
        <is>
          <t>6.10.0_R2</t>
        </is>
      </c>
      <c r="D417" t="inlineStr">
        <is>
          <t>单台虚拟机内部异常重启，查原因</t>
        </is>
      </c>
      <c r="E417" t="inlineStr">
        <is>
          <t>虚拟机</t>
        </is>
      </c>
      <c r="F417" t="inlineStr">
        <is>
          <t>虚拟机开关机</t>
        </is>
      </c>
      <c r="G417" t="inlineStr">
        <is>
          <t>根据客户描述“单台虚拟机内部异常重启”，这通常指向两种核心场景：一是虚拟机操作系统内部崩溃（如蓝屏、内核恐慌）导致的自发性重启，二是平台高可用（HA）机制检测异常后强制重启虚拟机。由于缺乏日志确证，此处提供两个可能性相当的候选分类：
根据 [虚拟机异常重启] 症状，您的问题可能属于以下故障之一，请确认：
① 虚拟机-042 虚拟机内部蓝屏
   判断依据：客户描述“内部异常重启”，常见于虚拟机操作系统自身崩溃（如Windows蓝屏BSOD或Linux内核恐慌Panic）后触发系统重启策略，概率估计 ~50%
② 虚拟机-033 虚拟机异常HA
   判断依据：单台虚拟机异常重启亦可能由平台HA机制误触发或心跳丢失导致，属于平台层面的强制重启行为，概率估计 ~40%
③ 以上都不是（请补充症状描述）
请回复 ① ② 或 ③ 完成确认。</t>
        </is>
      </c>
    </row>
    <row r="418">
      <c r="A418" t="inlineStr">
        <is>
          <t>Q2026030301369</t>
        </is>
      </c>
      <c r="B418" t="inlineStr">
        <is>
          <t>HCI</t>
        </is>
      </c>
      <c r="C418" t="inlineStr">
        <is>
          <t>6.8.0_R2</t>
        </is>
      </c>
      <c r="D418" t="inlineStr">
        <is>
          <t>虚拟机开机提示可计算内存不足，看配置内存是足够的</t>
        </is>
      </c>
      <c r="E418" t="inlineStr">
        <is>
          <t>虚拟机</t>
        </is>
      </c>
      <c r="F418" t="inlineStr">
        <is>
          <t>虚拟机开关机</t>
        </is>
      </c>
      <c r="G418" t="inlineStr">
        <is>
          <t>根据用户描述“虚拟机开机提示可计算内存不足”，这直接指向虚拟机生命周期管理中的启动环节失败。虽然用户提到配置内存足够，但“可计算内存”通常指宿主机实际可用或调度策略允许的内存资源，属于典型的资源调度导致的开机失败场景。
您的问题可能属于以下故障之一，请确认：
① 虚拟机-003 虚拟机开机失败
   判断依据：用户明确描述“虚拟机开机提示可计算内存不足”，核心症状为虚拟机无法正常启动，概率估计 ~95%
③ 以上都不是（请补充症状描述）
请回复 ① 或 ③ 完成确认。</t>
        </is>
      </c>
    </row>
    <row r="419">
      <c r="A419" t="inlineStr">
        <is>
          <t>Q2026030301076</t>
        </is>
      </c>
      <c r="B419" t="inlineStr">
        <is>
          <t>HCI</t>
        </is>
      </c>
      <c r="C419" t="inlineStr"/>
      <c r="D419" t="inlineStr">
        <is>
          <t>一台虚拟机反馈蓝屏无法开机，需要协助处理</t>
        </is>
      </c>
      <c r="E419" t="inlineStr">
        <is>
          <t>虚拟机</t>
        </is>
      </c>
      <c r="F419" t="inlineStr">
        <is>
          <t>虚拟机开关机</t>
        </is>
      </c>
      <c r="G419" t="inlineStr">
        <is>
          <t>根据客户描述中的关键词“虚拟机”与“蓝屏”，初步判断为虚拟机操作系统层面的故障，但需确认是否伴随平台层面的开机动作失败。
① 虚拟机-042 虚拟机内部蓝屏
   判断依据：客户明确描述“蓝屏”，此为Windows系统崩溃典型特征，通常归类于虚拟机内部系统故障，概率估计 ~85%
② 虚拟机-003 虚拟机开机失败
   判断依据：客户描述“无法开机”，若蓝屏导致系统反复重启或停留在蓝屏界面导致无法进入系统，用户感知常为开机失败，概率估计 ~15%
③ 以上都不是（请补充症状描述）
请回复 ① ② 或 ③ 完成确认。</t>
        </is>
      </c>
    </row>
    <row r="420">
      <c r="A420" t="inlineStr">
        <is>
          <t>Q2026030201473</t>
        </is>
      </c>
      <c r="B420" t="inlineStr">
        <is>
          <t>HCI</t>
        </is>
      </c>
      <c r="C420" t="inlineStr">
        <is>
          <t>6.10.0_R1</t>
        </is>
      </c>
      <c r="D420" t="inlineStr">
        <is>
          <t>服务器离线，有一个虚拟机打不开</t>
        </is>
      </c>
      <c r="E420" t="inlineStr">
        <is>
          <t>虚拟机</t>
        </is>
      </c>
      <c r="F420" t="inlineStr">
        <is>
          <t>虚拟机开关机</t>
        </is>
      </c>
      <c r="G420" t="inlineStr">
        <is>
          <t>根据您提供的“服务器离线”和“虚拟机打不开”的症状，问题可能属于以下故障之一，请确认：
① 平台-005 主机离线或异常重启
   判断依据：客户描述明确指出“服务器离线”，在 HCI 环境中物理主机离线是导致其上虚拟机无法打开的常见根因，概率估计 ~60%
② 虚拟机-003 虚拟机开机失败
   判断依据：客户描述“有一个虚拟机打不开”，若主机状态正常或虚拟机独立于离线主机，则属于虚拟机开机操作失败，概率估计 ~30%
③ 以上都不是（请补充症状描述）
请回复 ① ② 或 ③ 完成确认。</t>
        </is>
      </c>
    </row>
    <row r="421">
      <c r="A421" t="inlineStr">
        <is>
          <t>Q2026030201290</t>
        </is>
      </c>
      <c r="B421" t="inlineStr">
        <is>
          <t>HCI</t>
        </is>
      </c>
      <c r="C421" t="inlineStr">
        <is>
          <t>6.7.0R3</t>
        </is>
      </c>
      <c r="D421" t="inlineStr">
        <is>
          <t>一台虚拟机重启需要查原因</t>
        </is>
      </c>
      <c r="E421" t="inlineStr">
        <is>
          <t>虚拟机</t>
        </is>
      </c>
      <c r="F421" t="inlineStr">
        <is>
          <t>虚拟机开关机</t>
        </is>
      </c>
      <c r="G421" t="inlineStr">
        <is>
          <t>根据客户描述“一台虚拟机重启需要查原因”，该描述存在两种主要可能性：一是用户主动执行重启操作失败，二是虚拟机发生了非预期的自动重启（如HA切换或异常崩溃）。结合故障分类基准，为您提供以下判断：
① 虚拟机-005 虚拟机重启失败
   判断依据：若用户主动执行了重启操作但任务报错或卡住，属于典型的生命周期管理故障，概率估计 ~50%
② 虚拟机-033 虚拟机异常HA
   判断依据：若虚拟机在无人工干预的情况下自行重启，通常涉及平台HA机制触发或异常崩溃，需排查原因，概率估计 ~40%
③ 以上都不是（请补充症状描述）
请回复 ① ② 或 ③ 完成确认。</t>
        </is>
      </c>
    </row>
    <row r="422">
      <c r="A422" t="inlineStr">
        <is>
          <t>Q2026030100086</t>
        </is>
      </c>
      <c r="B422" t="inlineStr">
        <is>
          <t>HCI</t>
        </is>
      </c>
      <c r="C422" t="inlineStr">
        <is>
          <t>6.3.0R2</t>
        </is>
      </c>
      <c r="D422" t="inlineStr">
        <is>
          <t xml:space="preserve">虚拟机持续重启  需要协助定位确认   对教务系统存在影响  </t>
        </is>
      </c>
      <c r="E422" t="inlineStr">
        <is>
          <t>虚拟机</t>
        </is>
      </c>
      <c r="F422" t="inlineStr">
        <is>
          <t>虚拟机开关机</t>
        </is>
      </c>
      <c r="G422" t="inlineStr">
        <is>
          <t>根据您提供的故障现象“虚拟机持续重启”，这通常涉及虚拟机运行状态异常或平台高可用机制介入。您的问题可能属于以下故障之一，请确认：
① **虚拟机-005 虚拟机重启失败**
   判断依据：用户描述明确提到“虚拟机持续重启”，直接对应重启操作相关的故障分类，可能是重启流程卡死或反复尝试重启失败，概率估计 ~55%
② **虚拟机-033 虚拟机异常HA**
   判断依据：虚拟机“持续”重启往往是因为平台检测到异常（如宿主机故障、心跳丢失）后反复触发 HA 重建或迁移行为，概率估计 ~35%
③ 以上都不是（请补充症状描述）
请回复 ① ② 或 ③ 完成确认。</t>
        </is>
      </c>
    </row>
    <row r="423">
      <c r="A423" t="inlineStr">
        <is>
          <t>Q2026030100038</t>
        </is>
      </c>
      <c r="B423" t="inlineStr">
        <is>
          <t>HCI</t>
        </is>
      </c>
      <c r="C423" t="inlineStr">
        <is>
          <t>6.10.0_R2</t>
        </is>
      </c>
      <c r="D423" t="inlineStr">
        <is>
          <t xml:space="preserve">虚拟机开机失败，镜像忙
</t>
        </is>
      </c>
      <c r="E423" t="inlineStr">
        <is>
          <t>虚拟机</t>
        </is>
      </c>
      <c r="F423" t="inlineStr">
        <is>
          <t>虚拟机开关机</t>
        </is>
      </c>
      <c r="G423" t="inlineStr">
        <is>
          <t>根据客户描述“虚拟机开机失败，镜像忙”，问题核心在于虚拟机无法正常启动，且伴有磁盘锁定提示，您的问题可能属于以下故障之一，请确认：
① 虚拟机-003 虚拟机开机失败
   判断依据：客户明确描述“虚拟机开机失败”，错误提示“镜像忙”通常表示磁盘文件被其他进程（如备份、快照、迁移）占用或锁定，导致开机任务无法获取资源而失败，概率估计 ~95%
③ 以上都不是（请补充症状描述）
请回复 ① 或 ③ 完成确认。</t>
        </is>
      </c>
    </row>
    <row r="424">
      <c r="A424" t="inlineStr">
        <is>
          <t>Q2026022801333</t>
        </is>
      </c>
      <c r="B424" t="inlineStr">
        <is>
          <t>HCI</t>
        </is>
      </c>
      <c r="C424" t="inlineStr"/>
      <c r="D424" t="inlineStr">
        <is>
          <t>迁移之后 linux重启特别慢，就卡在这一步 要卡20-25分钟，多台都这样
1、现象和todesk远程如下截图</t>
        </is>
      </c>
      <c r="E424" t="inlineStr">
        <is>
          <t>虚拟机</t>
        </is>
      </c>
      <c r="F424" t="inlineStr">
        <is>
          <t>虚拟机开关机</t>
        </is>
      </c>
      <c r="G424" t="inlineStr">
        <is>
          <t>根据客户描述“迁移之后 Linux 重启特别慢，卡在启动步骤需耗时 20-25 分钟，且多台虚拟机出现相同情况”，问题聚焦于虚拟机性能表现。
您的问题可能属于以下故障之一，请确认：
① **虚拟机-036 虚拟机整体卡慢**
   判断依据：客户明确描述“重启特别慢”、“卡在这一步要卡 20-25 分钟”，这是虚拟机运行卡慢的最直观体现，概率估计 ~60%。
② **虚拟机-038 虚拟机IO读写慢**
   判断依据：故障发生在“迁移之后”且涉及“多台”虚拟机，通常暗示底层存储性能瓶颈、存储链路问题或虚拟机磁盘配置不当导致 IO 吞吐不足，概率估计 ~35%。
③ 以上都不是（请补充症状描述）
请回复 ① ② 或 ③ 完成确认。</t>
        </is>
      </c>
    </row>
    <row r="425">
      <c r="A425" t="inlineStr">
        <is>
          <t>Q2026022801203</t>
        </is>
      </c>
      <c r="B425" t="inlineStr">
        <is>
          <t>HCI</t>
        </is>
      </c>
      <c r="C425" t="inlineStr">
        <is>
          <t>HCI6.10.0_R2</t>
        </is>
      </c>
      <c r="D425" t="inlineStr">
        <is>
          <t>虚拟机发生过异常重启，需要协助排查原因</t>
        </is>
      </c>
      <c r="E425" t="inlineStr">
        <is>
          <t>虚拟机</t>
        </is>
      </c>
      <c r="F425" t="inlineStr">
        <is>
          <t>虚拟机开关机</t>
        </is>
      </c>
      <c r="G425" t="inlineStr">
        <is>
          <t>根据客户描述“虚拟机发生过异常重启”，该现象通常由平台侧的高可用（HA）机制触发或虚拟机操作系统内部崩溃导致。以下是可能的故障分类：
① 虚拟机-033 虚拟机异常HA
   判断依据：虚拟机异常重启最常见原因为平台HA机制触发。当宿主机故障、网络脑裂或存储中断时，HCI平台会强制在其他主机重建并重启虚拟机，表现为“异常重启”，概率估计 ~60%
② 虚拟机-042 虚拟机内部蓝屏
   判断依据：若虚拟机操作系统内部遭遇致命错误（如驱动冲突、内核崩溃），系统可能自动重启。若未配置内存转储分析，用户仅能观察到虚拟机无故重启，概率估计 ~30%
③ 以上都不是（请补充症状描述）
请回复 ① ② 或 ③ 完成确认。</t>
        </is>
      </c>
    </row>
    <row r="426">
      <c r="A426" t="inlineStr">
        <is>
          <t>Q2026022800210</t>
        </is>
      </c>
      <c r="B426" t="inlineStr">
        <is>
          <t>HCI</t>
        </is>
      </c>
      <c r="C426" t="inlineStr">
        <is>
          <t>HCI6.10.0_R2</t>
        </is>
      </c>
      <c r="D426" t="inlineStr">
        <is>
          <t>hci存在异常需要协助处理 虚拟机异常重启</t>
        </is>
      </c>
      <c r="E426" t="inlineStr">
        <is>
          <t>虚拟机</t>
        </is>
      </c>
      <c r="F426" t="inlineStr">
        <is>
          <t>虚拟机开关机</t>
        </is>
      </c>
      <c r="G426" t="inlineStr">
        <is>
          <t>根据用户描述“虚拟机异常重启”，在 HCI 环境中通常涉及高可用机制触发或宿主机状态异常。经分析，该问题可能属于以下故障分类，请确认：
① 虚拟机-033 虚拟机异常HA
   判断依据：虚拟机“异常重启”最常见原因为平台 HA 机制被误触发（如心跳丢失、网络抖动），导致虚拟机在被判定为故障后自动重启恢复，概率估计 ~60%
② 平台-005 主机离线或异常重启
   判断依据：若宿主机本身发生异常重启，会导致其上运行的虚拟机随之重启，用户感知即为虚拟机异常重启，概率估计 ~30%
③ 以上都不是（请补充症状描述）
请回复 ① ② 或 ③ 完成确认。</t>
        </is>
      </c>
    </row>
    <row r="427">
      <c r="A427" t="inlineStr">
        <is>
          <t>Q2026022701291</t>
        </is>
      </c>
      <c r="B427" t="inlineStr">
        <is>
          <t>HCI</t>
        </is>
      </c>
      <c r="C427" t="inlineStr"/>
      <c r="D427" t="inlineStr">
        <is>
          <t xml:space="preserve">1、背景：26年2月28日，客户进行东莞、深圳、上海三个数据中心的业务演练（业务层面的演练）
2、客户诉求：涉及业务切换，可能涉及网络切换、虚拟机关机、迁移等操作，不涉及宿主机关机，需要工程师现场保障。
3、进展：工程师-李鸿业(z70403)，26年2月27日_08:30~~17:00，现场保障。
4、需求：以防万一突发问题，0228周六，需后端应急保障。必要时涉及VT、中台、SCP、API接口 相关的研发技术支持同事介入。
</t>
        </is>
      </c>
      <c r="E427" t="inlineStr">
        <is>
          <t>虚拟机</t>
        </is>
      </c>
      <c r="F427" t="inlineStr">
        <is>
          <t>虚拟机开关机</t>
        </is>
      </c>
      <c r="G427" t="inlineStr">
        <is>
          <t>根据 [客户描述为业务演练保障需求，涉及跨数据中心及平台组件协同，未报告具体故障现象]，您的问题可能属于以下故障之一，请确认：
① 平台-L1 平台
   判断依据：工单核心内容为“业务演练现场保障”及“后端应急保障”请求，涉及多数据中心（东莞/深圳/上海）及虚拟机迁移、网络切换等预防性操作，属于平台级运维保障范畴，概率估计 ~90%
③ 以上都不是（请补充具体故障现象或报错信息）
请回复 ① 或 ③ 完成确认。</t>
        </is>
      </c>
    </row>
    <row r="428">
      <c r="A428" t="inlineStr">
        <is>
          <t>Q2026022700602</t>
        </is>
      </c>
      <c r="B428" t="inlineStr">
        <is>
          <t>HCI</t>
        </is>
      </c>
      <c r="C428" t="inlineStr">
        <is>
          <t>6.10.0_R2</t>
        </is>
      </c>
      <c r="D428" t="inlineStr">
        <is>
          <t>scmt迁移到hci的虚拟机，开机黑屏报错，需要协助处理</t>
        </is>
      </c>
      <c r="E428" t="inlineStr">
        <is>
          <t>虚拟机</t>
        </is>
      </c>
      <c r="F428" t="inlineStr">
        <is>
          <t>虚拟机开关机</t>
        </is>
      </c>
      <c r="G428" t="inlineStr">
        <is>
          <t>根据客户描述“scmt迁移到hci的虚拟机，开机黑屏报错”，您的问题可能属于以下故障之一，请确认：
① 虚拟机-003 虚拟机开机失败
   判断依据：用户明确提及“开机...报错”，故障发生在虚拟机生命周期的启动阶段，优先归类为开机失败。概率估计 ~60%
② 虚拟机-041 虚拟机内部黑屏
   判断依据：用户描述包含“黑屏”症状，且场景为“scmt迁移”后的首次启动，极可能是迁移后操作系统引导异常或驱动不兼容导致的内部黑屏。概率估计 ~40%
③ 以上都不是（请补充症状描述）
请回复 ① ② 或 ③ 完成确认。</t>
        </is>
      </c>
    </row>
    <row r="429">
      <c r="A429" t="inlineStr">
        <is>
          <t>Q2026022700575</t>
        </is>
      </c>
      <c r="B429" t="inlineStr">
        <is>
          <t>HCI</t>
        </is>
      </c>
      <c r="C429" t="inlineStr"/>
      <c r="D429" t="inlineStr">
        <is>
          <t>CDP恢复出来的虚拟机一直开机卡着，然后一直在HA恢复虚拟机</t>
        </is>
      </c>
      <c r="E429" t="inlineStr">
        <is>
          <t>虚拟机</t>
        </is>
      </c>
      <c r="F429" t="inlineStr">
        <is>
          <t>虚拟机开关机</t>
        </is>
      </c>
      <c r="G429" t="inlineStr">
        <is>
          <t>根据客户描述“CDP恢复出来的虚拟机开机卡住”且“一直在HA恢复虚拟机”，这表明虚拟机处于启动失败与HA机制的循环触发状态。
您的问题可能属于以下故障之一，请确认：
① **虚拟机-033 虚拟机异常HA**
   判断依据：客户明确提到“一直在HA恢复虚拟机”，这表明虚拟机可能陷入了异常的HA循环触发状态（如启动失败后反复尝试重建或重启），符合异常HA特征，概率估计 ~60%
② **虚拟机-003 虚拟机开机失败**
   判断依据：客户描述“开机卡着”，这是故障的直接表象，可能是CDP恢复后的系统文件损坏或配置问题导致无法正常启动，进而触发HA，概率估计 ~35%
③ 以上都不是（请补充症状描述）
请回复 ① ② 或 ③ 完成确认。</t>
        </is>
      </c>
    </row>
    <row r="430">
      <c r="A430" t="inlineStr">
        <is>
          <t>Q2026022700179</t>
        </is>
      </c>
      <c r="B430" t="inlineStr">
        <is>
          <t>HCI</t>
        </is>
      </c>
      <c r="C430" t="inlineStr">
        <is>
          <t>6.8.0_R2</t>
        </is>
      </c>
      <c r="D430" t="inlineStr">
        <is>
          <t>虚拟机开机失败，提示io读写失败，导致虚拟机网络异常</t>
        </is>
      </c>
      <c r="E430" t="inlineStr">
        <is>
          <t>虚拟机</t>
        </is>
      </c>
      <c r="F430" t="inlineStr">
        <is>
          <t>虚拟机开关机</t>
        </is>
      </c>
      <c r="G430" t="inlineStr">
        <is>
          <t>根据 客户明确描述“虚拟机开机失败”且伴随 IO 读写错误提示，您的问题可能属于以下故障之一，请确认：
① 虚拟机-003 虚拟机开机失败
   判断依据：客户描述核心症状为“虚拟机开机失败”，错误提示“io读写失败”通常指向存储链路异常导致无法读取配置文件或磁盘而引发开机任务中断，概率估计 ~95%
③ 以上都不是（请补充症状描述）
请回复 ① ② 或 ③ 完成确认。</t>
        </is>
      </c>
    </row>
    <row r="431">
      <c r="A431" t="inlineStr">
        <is>
          <t>Q2026022700056</t>
        </is>
      </c>
      <c r="B431" t="inlineStr">
        <is>
          <t>HCI</t>
        </is>
      </c>
      <c r="C431" t="inlineStr"/>
      <c r="D431" t="inlineStr">
        <is>
          <t>一台linux虚拟机无法进去系统，通过备份恢复也不行，需要协助处理</t>
        </is>
      </c>
      <c r="E431" t="inlineStr">
        <is>
          <t>虚拟机</t>
        </is>
      </c>
      <c r="F431" t="inlineStr">
        <is>
          <t>虚拟机开关机</t>
        </is>
      </c>
      <c r="G431" t="inlineStr">
        <is>
          <t>根据您提供的“linux虚拟机无法进去系统”及“通过备份恢复也不行”的特征，初步判断故障方向如下：
① 虚拟机-029 虚拟机备份恢复失败
   判断依据：用户明确描述“通过备份恢复也不行”，指向备份恢复操作本身存在失败或异常，概率估计 ~50%
② 虚拟机-044 虚拟机内部空间或文件系统异常
   判断依据：用户描述“linux虚拟机无法进去系统”，Linux虚拟机无法启动进入系统常因文件系统损坏或磁盘空间满导致，概率估计 ~40%
③ 以上都不是（请补充症状描述）
请回复 ① ② 或 ③ 完成确认。</t>
        </is>
      </c>
    </row>
    <row r="432">
      <c r="A432" t="inlineStr">
        <is>
          <t>Q2026022700044</t>
        </is>
      </c>
      <c r="B432" t="inlineStr">
        <is>
          <t>HCI</t>
        </is>
      </c>
      <c r="C432" t="inlineStr">
        <is>
          <t>6.11.1_R1</t>
        </is>
      </c>
      <c r="D432" t="inlineStr">
        <is>
          <t>单个虚拟机无法启动，提示虚拟机重启失败，虚拟机内部关机失败，虚拟机控制台上查看是windows错误恢复界面</t>
        </is>
      </c>
      <c r="E432" t="inlineStr">
        <is>
          <t>虚拟机</t>
        </is>
      </c>
      <c r="F432" t="inlineStr">
        <is>
          <t>虚拟机开关机</t>
        </is>
      </c>
      <c r="G432" t="inlineStr">
        <is>
          <t>根据您提供的故障现象，虚拟机处于“Windows错误恢复界面”且提示“重启失败”，说明虚拟机进程可能已运行，但因异常断电或系统文件损坏导致操作系统无法正常引导。这属于虚拟机生命周期管理问题。
结合客户描述“无法启动”和报错“重启失败”，请确认以下分类：
① 虚拟机-003 虚拟机开机失败
   判断依据：客户主诉“单个虚拟机无法启动”，虽然控制台有显示（说明虚拟机进程可能已开启），但从业务可用性角度看属于开机无法进入系统的问题，概率估计 ~50%
② 虚拟机-005 虚拟机重启失败
   判断依据：明确提示“虚拟机重启失败”，且“Windows错误恢复界面”通常出现在异常重启或强制断电后，符合重启操作异常的特征，概率估计 ~45%
③ 以上都不是（请补充症状描述）
请回复 ① ② 或 ③ 完成确认。</t>
        </is>
      </c>
    </row>
    <row r="433">
      <c r="A433" t="inlineStr">
        <is>
          <t>Q2026022601015</t>
        </is>
      </c>
      <c r="B433" t="inlineStr">
        <is>
          <t>HCI</t>
        </is>
      </c>
      <c r="C433" t="inlineStr">
        <is>
          <t>HCI6.10.0_R2</t>
        </is>
      </c>
      <c r="D433" t="inlineStr">
        <is>
          <t>虚拟机开机失败，提示可配置内存不足</t>
        </is>
      </c>
      <c r="E433" t="inlineStr">
        <is>
          <t>虚拟机</t>
        </is>
      </c>
      <c r="F433" t="inlineStr">
        <is>
          <t>虚拟机开关机</t>
        </is>
      </c>
      <c r="G433" t="inlineStr">
        <is>
          <t>根据故障现象“虚拟机开机失败”及具体报错“提示可配置内存不足”，您的问题可能属于以下故障之一：
① 虚拟机-003 虚拟机开机失败
   判断依据：客户明确描述“虚拟机开机失败”，错误提示“可配置内存不足”是典型的宿主机资源不足导致开机失败的子场景，概率估计 ~99%
③ 以上都不是（请补充症状描述）
请回复 ① 或 ③ 完成确认。</t>
        </is>
      </c>
    </row>
    <row r="434">
      <c r="A434" t="inlineStr">
        <is>
          <t>Q2026022600830</t>
        </is>
      </c>
      <c r="B434" t="inlineStr">
        <is>
          <t>HCI</t>
        </is>
      </c>
      <c r="C434" t="inlineStr">
        <is>
          <t>HCI6.10.0_R2</t>
        </is>
      </c>
      <c r="D434" t="inlineStr">
        <is>
          <t>单台业务虚拟机起不来了 没有备份  需要协助恢复</t>
        </is>
      </c>
      <c r="E434" t="inlineStr">
        <is>
          <t>虚拟机</t>
        </is>
      </c>
      <c r="F434" t="inlineStr">
        <is>
          <t>虚拟机开关机</t>
        </is>
      </c>
      <c r="G434" t="inlineStr">
        <is>
          <t>根据用户描述“单台业务虚拟机起不来”，这是典型的虚拟机生命周期管理问题。关键词“起不来”直接对应虚拟机开机失败场景，且用户提到“没有备份、需恢复”，暗示可能存在状态异常或文件损坏风险，但首要故障现象为无法开机。
您的问题可能属于以下故障之一，请确认：
① 虚拟机-003 虚拟机开机失败
   判断依据：用户明确描述“虚拟机起不来”，直接对应虚拟机无法执行开机动作或开机任务失败的故障现象，概率估计 ~95%
③ 以上都不是（请补充症状描述）
请回复 ① 或 ③ 完成确认。</t>
        </is>
      </c>
    </row>
    <row r="435">
      <c r="A435" t="inlineStr">
        <is>
          <t>Q2026022600645</t>
        </is>
      </c>
      <c r="B435" t="inlineStr">
        <is>
          <t>HCI</t>
        </is>
      </c>
      <c r="C435" t="inlineStr">
        <is>
          <t>6.11.1</t>
        </is>
      </c>
      <c r="D435" t="inlineStr">
        <is>
          <t>软件分发浏览器，部分虚拟机打不开需要协助处理</t>
        </is>
      </c>
      <c r="E435" t="inlineStr">
        <is>
          <t>虚拟机</t>
        </is>
      </c>
      <c r="F435" t="inlineStr">
        <is>
          <t>虚拟机开关机</t>
        </is>
      </c>
      <c r="G435" t="inlineStr">
        <is>
          <t>根据客户描述“软件分发浏览器，部分虚拟机打不开”，关键词“虚拟机打不开”通常指代虚拟机无法正常启动或进入运行状态。您的问题可能属于以下故障之一，请确认：
① 虚拟机-003 虚拟机开机失败
   判断依据：客户描述“部分虚拟机打不开”，在HCI运维场景中，“打不开”最常见对应虚拟机无法执行开机动作或开机过程中报错，概率估计 ~70%
② 虚拟机-039 虚拟机卡死无响应
   判断依据：若虚拟机处于运行状态但无法连接控制台或业务无响应，用户也会描述为“打不开”，概率估计 ~25%
③ 以上都不是（请补充症状描述）
请回复 ① ② 或 ③ 完成确认。</t>
        </is>
      </c>
    </row>
    <row r="436">
      <c r="A436" t="inlineStr">
        <is>
          <t>Q2026022600441</t>
        </is>
      </c>
      <c r="B436" t="inlineStr">
        <is>
          <t>HCI</t>
        </is>
      </c>
      <c r="C436" t="inlineStr">
        <is>
          <t>HCI6.10.0_R2</t>
        </is>
      </c>
      <c r="D436" t="inlineStr">
        <is>
          <t>【服务升级】：服务商通过数字化服务平台发起服务升级，请尽快联系服务商处理！&lt;br&gt;【工单描述】：医院NIS数据库虚拟机看日志在13号半夜无故重启，需要协助排查原因是人为导致还是系统故障导致，后续可有影响，拉外部群</t>
        </is>
      </c>
      <c r="E436" t="inlineStr">
        <is>
          <t>虚拟机</t>
        </is>
      </c>
      <c r="F436" t="inlineStr">
        <is>
          <t>虚拟机开关机</t>
        </is>
      </c>
      <c r="G436" t="inlineStr">
        <is>
          <t>根据用户描述“虚拟机无故重启”及需要“排查原因”的诉求，这通常涉及虚拟机高可用机制触发或宿主机异常。分析如下：
根据客户描述“虚拟机在半夜无故重启”及排查诉求，您的问题可能属于以下故障之一，请确认：
① 虚拟机-033 虚拟机异常HA
   判断依据：虚拟机“无故重启”是HA（高可用）机制的典型表现，通常由宿主机故障、网络脑裂或虚拟机卡死触发平台强制重启，概率估计 ~60%
② 平台-005 主机离线或异常重启
   判断依据：若宿主机物理节点在半夜发生异常重启或短暂离线，会导致运行在其上的虚拟机同步重启，概率估计 ~30%
③ 以上都不是（请补充症状描述）
请回复 ① ② 或 ③ 完成确认。</t>
        </is>
      </c>
    </row>
    <row r="437">
      <c r="A437" t="inlineStr">
        <is>
          <t>Q2026022600314</t>
        </is>
      </c>
      <c r="B437" t="inlineStr">
        <is>
          <t>HCI</t>
        </is>
      </c>
      <c r="C437" t="inlineStr">
        <is>
          <t>6.10.0R2</t>
        </is>
      </c>
      <c r="D437" t="inlineStr">
        <is>
          <t>个别3d虚拟机无法开机，影响业务</t>
        </is>
      </c>
      <c r="E437" t="inlineStr">
        <is>
          <t>虚拟机</t>
        </is>
      </c>
      <c r="F437" t="inlineStr">
        <is>
          <t>虚拟机开关机</t>
        </is>
      </c>
      <c r="G437" t="inlineStr">
        <is>
          <t>根据您描述的“个别3d虚拟机无法开机”，故障现象明确指向虚拟机生命周期管理中的启动环节。您的问题可能属于以下故障之一，请确认：
① 虚拟机-003 虚拟机开机失败
   判断依据：用户描述明确提及“虚拟机无法开机”。虽然提及“3d”暗示可能与显卡资源或vGPU配置有关，但核心故障表象为虚拟机无法正常启动。概率估计 ~95%
③ 以上都不是（请补充症状描述）
请回复 ① 或 ③ 完成确认。</t>
        </is>
      </c>
    </row>
    <row r="438">
      <c r="A438" t="inlineStr">
        <is>
          <t>Q2026022600259</t>
        </is>
      </c>
      <c r="B438" t="inlineStr">
        <is>
          <t>HCI</t>
        </is>
      </c>
      <c r="C438" t="inlineStr"/>
      <c r="D438" t="inlineStr">
        <is>
          <t>虚拟机重启不了   需要协助看看</t>
        </is>
      </c>
      <c r="E438" t="inlineStr">
        <is>
          <t>虚拟机</t>
        </is>
      </c>
      <c r="F438" t="inlineStr">
        <is>
          <t>虚拟机开关机</t>
        </is>
      </c>
      <c r="G438" t="inlineStr">
        <is>
          <t>根据您的描述“虚拟机重启不了”，该问题直接对应虚拟机生命周期操作故障，请确认：
① 虚拟机-005 虚拟机重启失败
   判断依据：客户描述“虚拟机重启不了”直接命中该分类定义，概率估计 ~95%
③ 以上都不是（请补充症状描述）
请回复 ① 或 ③ 完成确认。</t>
        </is>
      </c>
    </row>
    <row r="439">
      <c r="A439" t="inlineStr">
        <is>
          <t>Q2026022600068</t>
        </is>
      </c>
      <c r="B439" t="inlineStr">
        <is>
          <t>HCI</t>
        </is>
      </c>
      <c r="C439" t="inlineStr">
        <is>
          <t>HCI6.9.0</t>
        </is>
      </c>
      <c r="D439" t="inlineStr">
        <is>
          <t>核心虚拟机重启后台进不了系统</t>
        </is>
      </c>
      <c r="E439" t="inlineStr">
        <is>
          <t>虚拟机</t>
        </is>
      </c>
      <c r="F439" t="inlineStr">
        <is>
          <t>虚拟机开关机</t>
        </is>
      </c>
      <c r="G439" t="inlineStr">
        <is>
          <t>根据您的描述“核心虚拟机重启后台进不了系统”，故障现象涉及虚拟机生命周期操作及系统状态，可能属于以下分类，请确认：
① 虚拟机-005 虚拟机重启失败
   判断依据：用户明确提及“重启”操作后出现异常，且无法进入系统，优先归属重启操作故障，概率估计 ~60%
② 虚拟机-003 虚拟机开机失败
   判断依据：重启过程包含关机与开机动作，“进不了系统”本质上属于开机阶段未成功引导或运行，概率估计 ~35%
③ 以上都不是（请补充症状描述）
请回复 ① ② 或 ③ 完成确认。</t>
        </is>
      </c>
    </row>
    <row r="440">
      <c r="A440" t="inlineStr">
        <is>
          <t>Q2026022501014</t>
        </is>
      </c>
      <c r="B440" t="inlineStr">
        <is>
          <t>HCI</t>
        </is>
      </c>
      <c r="C440" t="inlineStr"/>
      <c r="D440" t="inlineStr">
        <is>
          <t>一台虚拟机反复自动关机，需要协助排查原因</t>
        </is>
      </c>
      <c r="E440" t="inlineStr">
        <is>
          <t>虚拟机</t>
        </is>
      </c>
      <c r="F440" t="inlineStr">
        <is>
          <t>虚拟机开关机</t>
        </is>
      </c>
      <c r="G440" t="inlineStr">
        <is>
          <t>根据客户描述“一台虚拟机反复自动关机”，这通常是虚拟机内部系统崩溃（如蓝屏、内核恐慌）或异常掉电的表现，而非平台操作失败。故障现象倾向于系统层面的不稳定。
请您确认以下分类：
① 虚拟机-042 虚拟机内部蓝屏
   判断依据：虚拟机“反复自动关机”或“反复重启”是操作系统崩溃（Windows蓝屏/Linux Kernel Panic）的典型特征，系统崩溃后触发重启或关机行为。概率估计 ~70%
② 虚拟机-L1 虚拟机
   判断依据：描述为现象（自动关机），尚未明确是操作系统内部故障、业务软件触发还是平台异常，归类为通用虚拟机故障进行排查。概率估计 ~25%
③ 以上都不是（请补充症状描述）
请回复 ① ② 或 ③ 完成确认。</t>
        </is>
      </c>
    </row>
    <row r="441">
      <c r="A441" t="inlineStr">
        <is>
          <t>Q2026022500997</t>
        </is>
      </c>
      <c r="B441" t="inlineStr">
        <is>
          <t>HCI</t>
        </is>
      </c>
      <c r="C441" t="inlineStr"/>
      <c r="D441" t="inlineStr">
        <is>
          <t>Q2025121501261   虚拟机起不来  需要协助分析</t>
        </is>
      </c>
      <c r="E441" t="inlineStr">
        <is>
          <t>虚拟机</t>
        </is>
      </c>
      <c r="F441" t="inlineStr">
        <is>
          <t>虚拟机开关机</t>
        </is>
      </c>
      <c r="G441" t="inlineStr">
        <is>
          <t>根据 [客户描述关键词：虚拟机起不来]，您的问题可能属于以下故障之一，请确认：
① 虚拟机-003 虚拟机开机失败
   判断依据：客户描述“虚拟机起不来”直接对应虚拟机无法从关机状态转换为运行状态的场景，概率估计 ~95%
③ 以上都不是（请补充症状描述）
请回复 ① 或 ③ 完成确认。</t>
        </is>
      </c>
    </row>
    <row r="442">
      <c r="A442" t="inlineStr">
        <is>
          <t>Q2026022500713</t>
        </is>
      </c>
      <c r="B442" t="inlineStr">
        <is>
          <t>HCI</t>
        </is>
      </c>
      <c r="C442" t="inlineStr">
        <is>
          <t>6.11.1_R1</t>
        </is>
      </c>
      <c r="D442" t="inlineStr">
        <is>
          <t>新创建的虚拟机无法开机，需要协助确认</t>
        </is>
      </c>
      <c r="E442" t="inlineStr">
        <is>
          <t>虚拟机</t>
        </is>
      </c>
      <c r="F442" t="inlineStr">
        <is>
          <t>虚拟机开关机</t>
        </is>
      </c>
      <c r="G442" t="inlineStr">
        <is>
          <t>根据用户描述“新创建的虚拟机无法开机”，故障现象明确指向虚拟机电源操作失败，属于高置信度匹配。
您的问题可能属于以下故障之一，请确认：
① 虚拟机-003 虚拟机开机失败
   判断依据：用户明确描述“新创建的虚拟机无法开机”，直接对应虚拟机开机动作失败的故障模式，概率估计 ~95%
② 虚拟机-001 虚拟机创建失败
   判断依据：若虚拟机在创建流程的最后阶段（自动开机环节）报错，用户可能感知为“无法开机”，概率估计 ~5%
③ 以上都不是（请补充症状描述）
请回复 ① ② 或 ③ 完成确认。</t>
        </is>
      </c>
    </row>
    <row r="443">
      <c r="A443" t="inlineStr">
        <is>
          <t>Q2026022500616</t>
        </is>
      </c>
      <c r="B443" t="inlineStr">
        <is>
          <t>HCI</t>
        </is>
      </c>
      <c r="C443" t="inlineStr">
        <is>
          <t>与版本无关</t>
        </is>
      </c>
      <c r="D443" t="inlineStr">
        <is>
          <t>win7虚拟机一直内部自动重启
选择最后一次正确配置才能正常使用</t>
        </is>
      </c>
      <c r="E443" t="inlineStr">
        <is>
          <t>虚拟机</t>
        </is>
      </c>
      <c r="F443" t="inlineStr">
        <is>
          <t>虚拟机开关机</t>
        </is>
      </c>
      <c r="G443" t="inlineStr">
        <is>
          <t>根据您提供的信息，win7虚拟机一直内部自动重启，选择最后一次正确配置才能正常使用，这种情况通常是Windows系统层面的异常导致。
请确认故障分类：
**① 虚拟机-043 虚拟机内部软件使用异常**
判断依据：虚拟机能够启动但进入自动重启循环，选择"最后一次正确配置"可正常使用，说明是Guest OS内部的软件、驱动或配置问题导致系统无法正常加载，概率估计 ~65%
**② 虚拟机-040 虚拟机图形化界面启动失败**
判断依据：虚拟机无法正常进入桌面系统，需要使用启动菜单的高级选项才能加载，可能涉及系统引导或图形界面加载问题，概率估计 ~25%
**③ 以上都不是（请补充症状描述）**
请回复 ① ② 或 ③ 完成确认。</t>
        </is>
      </c>
    </row>
    <row r="444">
      <c r="A444" t="inlineStr">
        <is>
          <t>Q2026022500369</t>
        </is>
      </c>
      <c r="B444" t="inlineStr">
        <is>
          <t>HCI</t>
        </is>
      </c>
      <c r="C444" t="inlineStr">
        <is>
          <t>HCI6.0.0_R5</t>
        </is>
      </c>
      <c r="D444" t="inlineStr">
        <is>
          <t>两主机集群，目前一台虚拟机起不来，业务不确定有没有影响</t>
        </is>
      </c>
      <c r="E444" t="inlineStr">
        <is>
          <t>虚拟机</t>
        </is>
      </c>
      <c r="F444" t="inlineStr">
        <is>
          <t>虚拟机开关机</t>
        </is>
      </c>
      <c r="G444" t="inlineStr">
        <is>
          <t>根据您提供的故障现象“一台虚拟机起不来”，这直接对应虚拟机生命周期的电源操作问题。结合【故障分类基准】，分析如下：
**全量分析**：
*   **关键实体**：虚拟机（VM）。
*   **错误模式**：“起不来”通常指执行开机操作后，虚拟机无法进入“运行”状态，可能涉及任务执行失败、资源不足或底层服务异常。
*   **分类定位**：该描述最精准地匹配“虚拟机开机失败”分类。
请确认您的问题分类：
① **虚拟机-003 虚拟机开机失败**
   判断依据：客户直接描述“虚拟机起不来”，符合虚拟机开机任务失败或无响应的标准定义，概率估计 ~95%
② **以上都不是**（请补充具体症状，如：是否报错、卡在什么进度、控制台是否有显示等）
请回复 **①** 或 **②** 完成确认。</t>
        </is>
      </c>
    </row>
    <row r="445">
      <c r="A445" t="inlineStr">
        <is>
          <t>Q2026022500074</t>
        </is>
      </c>
      <c r="B445" t="inlineStr">
        <is>
          <t>HCI</t>
        </is>
      </c>
      <c r="C445" t="inlineStr"/>
      <c r="D445" t="inlineStr">
        <is>
          <t>存储异常 虚拟机全部重启 目前已恢复 需要查原因</t>
        </is>
      </c>
      <c r="E445" t="inlineStr">
        <is>
          <t>虚拟机</t>
        </is>
      </c>
      <c r="F445" t="inlineStr">
        <is>
          <t>虚拟机开关机</t>
        </is>
      </c>
      <c r="G445" t="inlineStr">
        <is>
          <t>根据您的描述“存储异常导致虚拟机全部重启，目前已恢复”，这通常涉及存储链路故障引发的主机保护机制或HA切换。
综合分析，问题可能属于以下故障分类，请确认：
① **平台-005 主机离线或异常重启**
   判断依据：虚拟机“全部重启”通常意味着宿主机发生了异常重启（如因存储心跳丢失触发主机看门狗超时或fence动作），而非单个虚拟机故障，概率估计 ~60%
② **存储-019 虚拟存储状态异常（离线、服务异常、服务未启动等）**
   判断依据：您明确描述了“存储异常”作为前置现象，可能是存储服务闪断或状态异常导致主机保护机制生效，概率估计 ~35%
③ 以上都不是（请补充症状描述）
请回复 ① ② 或 ③ 完成确认。</t>
        </is>
      </c>
    </row>
    <row r="446">
      <c r="A446" t="inlineStr">
        <is>
          <t>Q2026022400741</t>
        </is>
      </c>
      <c r="B446" t="inlineStr">
        <is>
          <t>HCI</t>
        </is>
      </c>
      <c r="C446" t="inlineStr">
        <is>
          <t>6.8.0_R1</t>
        </is>
      </c>
      <c r="D446" t="inlineStr">
        <is>
          <t>一台虚拟机无法开机，提示找不到磁盘，需要协助处理</t>
        </is>
      </c>
      <c r="E446" t="inlineStr">
        <is>
          <t>虚拟机</t>
        </is>
      </c>
      <c r="F446" t="inlineStr">
        <is>
          <t>虚拟机开关机</t>
        </is>
      </c>
      <c r="G446" t="inlineStr">
        <is>
          <t>根据客户描述“虚拟机无法开机，提示找不到磁盘”，这是典型的虚拟机启动流程受阻现象，优先归类于虚拟机域。
您的问题可能属于以下故障之一，请确认：
① 虚拟机-003 虚拟机开机失败
   判断依据：客户明确反馈“一台虚拟机无法开机”，且系统报错“找不到磁盘”，直接对应虚拟机启动失败场景，概率估计 ~90%
② 以上都不是（请补充症状描述）
请回复 ① 或 ② 完成确认。</t>
        </is>
      </c>
    </row>
    <row r="447">
      <c r="A447" t="inlineStr">
        <is>
          <t>Q2026022400575</t>
        </is>
      </c>
      <c r="B447" t="inlineStr">
        <is>
          <t>HCI</t>
        </is>
      </c>
      <c r="C447" t="inlineStr"/>
      <c r="D447" t="inlineStr">
        <is>
          <t>一台虚拟机开机后进不去系统需要协助处理</t>
        </is>
      </c>
      <c r="E447" t="inlineStr">
        <is>
          <t>虚拟机</t>
        </is>
      </c>
      <c r="F447" t="inlineStr">
        <is>
          <t>虚拟机开关机</t>
        </is>
      </c>
      <c r="G447" t="inlineStr">
        <is>
          <t>根据客户描述“虚拟机开机后进不去系统”，该描述暗示虚拟机开机动作已执行（可能处于运行状态），但操作系统未正常加载。这通常表现为控制台黑屏、蓝屏或卡在启动界面。
您的问题可能属于以下故障之一，请确认：
① **虚拟机-041 虚拟机内部黑屏**
   判断依据：开机后控制台无显示或黑屏，操作系统引导失败，概率估计 ~50%
② **虚拟机-042 虚拟机内部蓝屏**
   判断依据：开机后控制台显示Windows蓝屏死机（BSOD），导致无法进入系统，概率估计 ~30%
③ 以上都不是（请补充症状描述）
请回复 ① ② 或 ③ 完成确认。</t>
        </is>
      </c>
    </row>
    <row r="448">
      <c r="A448" t="inlineStr">
        <is>
          <t>Q2026022400563</t>
        </is>
      </c>
      <c r="B448" t="inlineStr">
        <is>
          <t>HCI</t>
        </is>
      </c>
      <c r="C448" t="inlineStr">
        <is>
          <t>6.10.0_R2</t>
        </is>
      </c>
      <c r="D448" t="inlineStr">
        <is>
          <t>想要通过API接口查看开机虚拟机的各种状态信息，协助对接</t>
        </is>
      </c>
      <c r="E448" t="inlineStr">
        <is>
          <t>虚拟机</t>
        </is>
      </c>
      <c r="F448" t="inlineStr">
        <is>
          <t>虚拟机开关机</t>
        </is>
      </c>
      <c r="G448" t="inlineStr">
        <is>
          <t>根据用户描述“想要通过API接口查看开机虚拟机的各种状态信息，协助对接”，这属于通过平台接口获取虚拟机运行数据的场景。由于提供的故障分类库主要针对“故障”场景，且未包含“API使用咨询”或“开发对接”专用分类，该需求最贴近于平台能力范畴或虚拟机管理范畴。
您的问题可能属于以下分类，请确认：
① 平台-L1 平台
   判断依据：用户请求“API接口”协助对接，API 属于平台层的管理与接口能力，且未涉及具体的报错或功能失效，属于平台功能使用咨询，概率估计 ~60%
② 虚拟机-L1 虚拟机
   判断依据：用户关注的核心内容是“虚拟机状态信息”，最终查询的对象是虚拟机资源，属于虚拟机域的查询管理范畴，概率估计 ~40%
③ 以上都不是（请补充症状描述）
请回复 ① ② 或 ③ 完成确认。</t>
        </is>
      </c>
    </row>
    <row r="449">
      <c r="A449" t="inlineStr">
        <is>
          <t>Q2026022400367</t>
        </is>
      </c>
      <c r="B449" t="inlineStr">
        <is>
          <t>HCI</t>
        </is>
      </c>
      <c r="C449" t="inlineStr">
        <is>
          <t>与版本无关</t>
        </is>
      </c>
      <c r="D449" t="inlineStr">
        <is>
          <t>虚拟机软重启 查原因</t>
        </is>
      </c>
      <c r="E449" t="inlineStr">
        <is>
          <t>虚拟机</t>
        </is>
      </c>
      <c r="F449" t="inlineStr">
        <is>
          <t>虚拟机开关机</t>
        </is>
      </c>
      <c r="G449" t="inlineStr">
        <is>
          <t>根据您的描述“虚拟机软重启 查原因”，其中明确提到了虚拟机的具体操作“软重启”以及排查诉求。在HCI故障分类中，这通常对应于重启操作未达预期（如操作卡住、失败或异常）的场景。
请确认以下分类：
① 虚拟机-005 虚拟机重启失败
   判断依据：用户描述“虚拟机软重启”并要求“查原因”，通常指向执行软重启操作后虚拟机状态异常、操作未完成或失败，属于虚拟机生命周期管理中的重启故障范畴，概率估计 ~85%
② 虚拟机-L1 虚拟机
   判断依据：若软重启操作本身已成功执行，但用户是在排查虚拟机为何自动发生软重启（非用户主动操作）的内部原因，则属于虚拟机整体运行状态的通用排查，概率估计 ~15%
③ 以上都不是（请补充症状描述）
请回复 ① ② 或 ③ 完成确认。</t>
        </is>
      </c>
    </row>
    <row r="450">
      <c r="A450" t="inlineStr">
        <is>
          <t>Q2026022400329</t>
        </is>
      </c>
      <c r="B450" t="inlineStr">
        <is>
          <t>HCI</t>
        </is>
      </c>
      <c r="C450" t="inlineStr">
        <is>
          <t>6.11.1_R1</t>
        </is>
      </c>
      <c r="D450" t="inlineStr">
        <is>
          <t>机房断电后核心业务虚拟机开机不起来了</t>
        </is>
      </c>
      <c r="E450" t="inlineStr">
        <is>
          <t>虚拟机</t>
        </is>
      </c>
      <c r="F450" t="inlineStr">
        <is>
          <t>虚拟机开关机</t>
        </is>
      </c>
      <c r="G450" t="inlineStr">
        <is>
          <t>根据用户描述“机房断电后核心业务虚拟机开机不起来了”，故障现象明确指向虚拟机开机操作失败。断电往往导致存储状态异常或虚拟机状态文件残留，进而阻碍开机流程。
您的问题可能属于以下故障之一，请确认：
① 虚拟机-003 虚拟机开机失败
   判断依据：用户明确描述“虚拟机开机不起来了”，且断电后常伴随状态文件锁或存储未就绪导致的启动失败，概率估计 ~90%
③ 以上都不是（请补充症状描述）
请回复 ① 或 ③ 完成确认。</t>
        </is>
      </c>
    </row>
    <row r="451">
      <c r="A451" t="inlineStr">
        <is>
          <t>Q2026022400170</t>
        </is>
      </c>
      <c r="B451" t="inlineStr">
        <is>
          <t>HCI</t>
        </is>
      </c>
      <c r="C451" t="inlineStr">
        <is>
          <t>HCI6.11.1_R1</t>
        </is>
      </c>
      <c r="D451" t="inlineStr">
        <is>
          <t>一台虚拟机一直在内部重启查 原因</t>
        </is>
      </c>
      <c r="E451" t="inlineStr">
        <is>
          <t>虚拟机</t>
        </is>
      </c>
      <c r="F451" t="inlineStr">
        <is>
          <t>虚拟机开关机</t>
        </is>
      </c>
      <c r="G451" t="inlineStr">
        <is>
          <t>根据您提供的“虚拟机一直在内部重启”这一关键症状，故障定位主要指向客户机操作系统层面。系统崩溃后的自动重置是“内部重启”最常见的原因。请确认以下分类：
① 虚拟机-042 虚拟机内部蓝屏
   判断依据：客户描述“内部重启”通常是由于操作系统核心崩溃（如 Windows 蓝屏 BSOD 或 Linux Kernel Panic）后触发的系统自动重启行为，概率估计 ~75%
② 虚拟机-043 虚拟机内部软件使用异常
   判断依据：若操作系统未崩溃，可能是虚拟机内部关键业务软件异常、驱动冲突或配置错误导致系统被强制重启，概率估计 ~20%
③ 以上都不是（请补充症状描述）
请回复 ① ② 或 ③ 完成确认。</t>
        </is>
      </c>
    </row>
    <row r="452">
      <c r="A452" t="inlineStr">
        <is>
          <t>Q2026022400043</t>
        </is>
      </c>
      <c r="B452" t="inlineStr">
        <is>
          <t>HCI</t>
        </is>
      </c>
      <c r="C452" t="inlineStr"/>
      <c r="D452" t="inlineStr">
        <is>
          <t>虚拟机无法启动，影响业务</t>
        </is>
      </c>
      <c r="E452" t="inlineStr">
        <is>
          <t>虚拟机</t>
        </is>
      </c>
      <c r="F452" t="inlineStr">
        <is>
          <t>虚拟机开关机</t>
        </is>
      </c>
      <c r="G452" t="inlineStr">
        <is>
          <t>根据客户描述“虚拟机无法启动”，这是最典型的虚拟机生命周期故障，直接对应虚拟机开机任务失败。
① 虚拟机-003 虚拟机开机失败
   判断依据：客户明确描述“虚拟机无法启动”，对应平台虚拟机生命周期管理中的“开机/PowerOn”操作失败场景，概率估计 ~95%
③ 以上都不是（请补充症状描述）
请回复 ① 或 ③ 完成确认。</t>
        </is>
      </c>
    </row>
    <row r="453">
      <c r="A453" t="inlineStr">
        <is>
          <t>Q2026022400031</t>
        </is>
      </c>
      <c r="B453" t="inlineStr">
        <is>
          <t>HCI</t>
        </is>
      </c>
      <c r="C453" t="inlineStr">
        <is>
          <t>6.8.0</t>
        </is>
      </c>
      <c r="D453" t="inlineStr">
        <is>
          <t>虚拟机开机失败 反馈是核心业务</t>
        </is>
      </c>
      <c r="E453" t="inlineStr">
        <is>
          <t>虚拟机</t>
        </is>
      </c>
      <c r="F453" t="inlineStr">
        <is>
          <t>虚拟机开关机</t>
        </is>
      </c>
      <c r="G453" t="inlineStr">
        <is>
          <t>根据用户描述明确提及“虚拟机开机失败”，直接匹配故障分类基准，判定如下：
① 虚拟机-003 虚拟机开机失败
   判断依据：用户描述“虚拟机开机失败”与分类名称完全一致，精准命中虚拟机生命周期管理中的启动操作失败场景。
③ 以上都不是（请补充症状描述）
请回复 ① 或 ③ 完成确认。</t>
        </is>
      </c>
    </row>
    <row r="454">
      <c r="A454" t="inlineStr">
        <is>
          <t>Q2026022300113</t>
        </is>
      </c>
      <c r="B454" t="inlineStr">
        <is>
          <t>HCI</t>
        </is>
      </c>
      <c r="C454" t="inlineStr">
        <is>
          <t>6.0.0</t>
        </is>
      </c>
      <c r="D454" t="inlineStr">
        <is>
          <t>年前服务器关机了，今天开了服务器后，有一台虚拟机无法开机</t>
        </is>
      </c>
      <c r="E454" t="inlineStr">
        <is>
          <t>虚拟机</t>
        </is>
      </c>
      <c r="F454" t="inlineStr">
        <is>
          <t>虚拟机开关机</t>
        </is>
      </c>
      <c r="G454" t="inlineStr">
        <is>
          <t>根据您的描述“有一台虚拟机无法开机”，这直接对应虚拟机生命周期管理的操作失败场景。
您的问题可能属于以下故障之一，请确认：
① 虚拟机-003 虚拟机开机失败
   判断依据：客户明确描述“有一台虚拟机无法开机”，直接指向虚拟机开机操作失败的故障分类，概率估计 ~95%
② 以上都不是（请补充症状描述）
请回复 ① 或 ② 完成确认。</t>
        </is>
      </c>
    </row>
    <row r="455">
      <c r="A455" t="inlineStr">
        <is>
          <t>Q2026022300089</t>
        </is>
      </c>
      <c r="B455" t="inlineStr">
        <is>
          <t>HCI</t>
        </is>
      </c>
      <c r="C455" t="inlineStr">
        <is>
          <t>6.10.0_R2</t>
        </is>
      </c>
      <c r="D455" t="inlineStr">
        <is>
          <t>有一个windows虚拟机开机失败</t>
        </is>
      </c>
      <c r="E455" t="inlineStr">
        <is>
          <t>虚拟机</t>
        </is>
      </c>
      <c r="F455" t="inlineStr">
        <is>
          <t>虚拟机开关机</t>
        </is>
      </c>
      <c r="G455" t="inlineStr">
        <is>
          <t>根据客户描述中明确提到的“虚拟机开机失败”这一关键症状，您的问题可能属于以下故障之一，请确认：
① 虚拟机-003 虚拟机开机失败
   判断依据：客户描述“windows虚拟机开机失败”，与该分类名称及定义直接命中，概率估计 ~95%
③ 以上都不是（请补充症状描述）
请回复 ① 或 ③ 完成确认。</t>
        </is>
      </c>
    </row>
    <row r="456">
      <c r="A456" t="inlineStr">
        <is>
          <t>Q2026022300071</t>
        </is>
      </c>
      <c r="B456" t="inlineStr">
        <is>
          <t>HCI</t>
        </is>
      </c>
      <c r="C456" t="inlineStr">
        <is>
          <t>HCIUnknown Version</t>
        </is>
      </c>
      <c r="D456">
        <f>===海外工单信息====
    海外工单ID：20260223860021
    事件等级：Priority2
    产品线：HCI::Unknown Version
====客户信息====
    客户ID：6918
    客户MDM ID：f79652191f5065416faf1628e5cae7b4
    客户名称：Hong Kong Air Cargo Terminals Limited (Hactl)【Hong Kong】
    客户区域：Hong Kong
    客户类型：
====工单信息====
设备部署模式：VDI5.9.6，ADC 7.0.21
客户背景： 香港 - 香港空運貨站 （HACTL)
问题现象： 延伸集群演练，客户将故障域1的主机都关机，因三个控制节点都在故障域1，导致集群无法选举新的控制节点，集群页面无法访问，手动切换也失败
重要备注：
是否已开群（企微）：是
企微群名：【香港 HACTL】容灾演练问题处理</f>
        <v/>
      </c>
      <c r="E456" t="inlineStr">
        <is>
          <t>虚拟机</t>
        </is>
      </c>
      <c r="F456" t="inlineStr">
        <is>
          <t>虚拟机开关机</t>
        </is>
      </c>
      <c r="G456" t="inlineStr">
        <is>
          <t>根据客户描述“延伸集群演练中关闭故障域1主机导致控制节点全丢、集群页面无法访问及手动切换失败”，故障核心表现为管理平台不可用。
根据症状匹配，您的问题可能属于以下故障之一，请确认：
① 平台-018 控制台登录失败
   判断依据：客户明确描述“集群页面无法访问”，且因控制节点丢失导致管理平面中断，概率估计 ~80%
② 虚拟机-032 虚拟机HA不达预期
   判断依据：客户进行“延伸集群演练”，预期应实现业务连续性，但发生“无法选举新的控制节点”及“手动切换失败”，属于高可用机制未达预期，概率估计 ~15%
③ 以上都不是（请补充症状描述）
请回复 ① ② 或 ③ 完成确认。</t>
        </is>
      </c>
    </row>
    <row r="457">
      <c r="A457" t="inlineStr">
        <is>
          <t>Q2026022200061</t>
        </is>
      </c>
      <c r="B457" t="inlineStr">
        <is>
          <t>HCI</t>
        </is>
      </c>
      <c r="C457" t="inlineStr">
        <is>
          <t>6.3.0</t>
        </is>
      </c>
      <c r="D457" t="inlineStr">
        <is>
          <t>超融合主机172.16.0.86上部分虚拟机发生切换重启系统了。需协调看下是什么原因？</t>
        </is>
      </c>
      <c r="E457" t="inlineStr">
        <is>
          <t>虚拟机</t>
        </is>
      </c>
      <c r="F457" t="inlineStr">
        <is>
          <t>虚拟机开关机</t>
        </is>
      </c>
      <c r="G457" t="inlineStr">
        <is>
          <t>根据客户描述“虚拟机发生切换重启”，这通常是虚拟机高可用（HA）机制被触发的表现。导致 HA 触发的原因可能是主机故障（如掉电、死机）或网络脑裂等。
您的问题可能属于以下故障之一，请确认：
① **虚拟机-033 虚拟机异常HA**
   判断依据：客户描述“虚拟机发生切换重启”，符合虚拟机高可用（HA）功能触发后的现象，需排查是否为异常触发。概率估计 ~60%
② **平台-005 主机离线或异常重启**
   判断依据：涉及特定主机（172.16.0.86）上的批量虚拟机切换，极大概率是该主机发生了离线、死机或异常重启，导致虚拟机迁移或重启动。概率估计 ~35%
③ 以上都不是（请补充症状描述）
请回复 ① ② 或 ③ 完成确认。</t>
        </is>
      </c>
    </row>
    <row r="458">
      <c r="A458" t="inlineStr">
        <is>
          <t>Q2026021800014</t>
        </is>
      </c>
      <c r="B458" t="inlineStr">
        <is>
          <t>HCI</t>
        </is>
      </c>
      <c r="C458" t="inlineStr">
        <is>
          <t>与版本无关</t>
        </is>
      </c>
      <c r="D458" t="inlineStr">
        <is>
          <t>虚拟机重启查原因</t>
        </is>
      </c>
      <c r="E458" t="inlineStr">
        <is>
          <t>虚拟机</t>
        </is>
      </c>
      <c r="F458" t="inlineStr">
        <is>
          <t>虚拟机开关机</t>
        </is>
      </c>
      <c r="G458" t="inlineStr">
        <is>
          <t>根据您提供的简短描述“虚拟机重启查原因”，该表述存在歧义，既可能指虚拟机“意外自动重启”需排查诱因，也可能指用户“执行重启操作失败”。请确认具体属于以下哪种情况：
① 虚拟机-033 虚拟机异常HA
   判断依据：客户描述为“查原因”，通常指虚拟机发生了非预期的自动重启，重点在于排查是否触发了平台高可用（HA）机制或宿主机故障，概率估计 ~60%
② 虚拟机-005 虚拟机重启失败
   判断依据：若客户是指主动对虚拟机发起重启操作后卡住或报错，属于操作执行层面的问题，概率估计 ~30%
③ 以上都不是（请补充症状描述）
请回复 ① ② 或 ③ 完成确认。</t>
        </is>
      </c>
    </row>
    <row r="459">
      <c r="A459" t="inlineStr">
        <is>
          <t>Q2026021700023</t>
        </is>
      </c>
      <c r="B459" t="inlineStr">
        <is>
          <t>HCI</t>
        </is>
      </c>
      <c r="C459" t="inlineStr">
        <is>
          <t>HCI6.3.0_R2</t>
        </is>
      </c>
      <c r="D459" t="inlineStr">
        <is>
          <t>服务器异常重启协助排查，反馈有两个EDR业务虚拟机无法开机</t>
        </is>
      </c>
      <c r="E459" t="inlineStr">
        <is>
          <t>虚拟机</t>
        </is>
      </c>
      <c r="F459" t="inlineStr">
        <is>
          <t>虚拟机开关机</t>
        </is>
      </c>
      <c r="G459" t="inlineStr">
        <is>
          <t>根据客户描述中“服务器异常重启”导致“虚拟机无法开机”的典型场景，核心故障现象为虚拟机开机状态异常，同时也涉及宿主机稳定性问题。为了精准定位排查方向，请确认以下分类：
① 虚拟机-003 虚拟机开机失败
   判断依据：客户明确反馈“有两个EDR业务虚拟机无法开机”，此为当前影响业务的关键故障现象，需优先排查开机链路（如存储访问、文件锁、资源预留等），概率估计 ~60%
② 平台-005 主机离线或异常重启
   判断依据：描述中提及“服务器异常重启”，这是导致虚拟机状态丢失或开机检查失败的诱因，若需排查物理机掉电/内核恐慌等根因，可选此项，概率估计 ~35%
③ 以上都不是（请补充症状描述）
请回复 ① ② 或 ③ 完成确认。</t>
        </is>
      </c>
    </row>
    <row r="460">
      <c r="A460" t="inlineStr">
        <is>
          <t>Q2026021600036</t>
        </is>
      </c>
      <c r="B460" t="inlineStr">
        <is>
          <t>HCI</t>
        </is>
      </c>
      <c r="C460" t="inlineStr">
        <is>
          <t>HCI6.11.1</t>
        </is>
      </c>
      <c r="D460">
        <f>===海外工单信息====
    海外工单ID：20260215860019
    事件等级：Priority4
    产品线：HCI::6.11.1
Both our SAP Application Server and RDP Server VMs became completely unresponsive—
Restart/shutdown commands failed in the management console.
</f>
        <v/>
      </c>
      <c r="E460" t="inlineStr">
        <is>
          <t>虚拟机</t>
        </is>
      </c>
      <c r="F460" t="inlineStr">
        <is>
          <t>虚拟机开关机</t>
        </is>
      </c>
      <c r="G460" t="inlineStr">
        <is>
          <t>根据客户描述中提到的“虚拟机完全无响应”以及“管理控制台重启/关机命令失败”，这通常指向虚拟机进程死锁或状态异常。
根据故障分类基准，您的问题可能属于以下故障之一，请确认：
① 虚拟机-039 虚拟机卡死无响应
   判断依据：客户明确描述 VMs "completely unresponsive"（完全无响应），且管理控制台的电源操作（重启/关机）失败，符合虚拟机进程卡死或假死的典型特征，概率估计 ~80%
② 虚拟机-009 虚拟机异常挂起
   判断依据：虚拟机因内部高负载或IO hang等原因异常进入挂起状态时，也会表现为业务无响应且无法响应关机/重启指令，需排查是否处于 Paused 状态，概率估计 ~15%
③ 以上都不是（请补充症状描述）
请回复 ① ② 或 ③ 完成确认。</t>
        </is>
      </c>
    </row>
    <row r="461">
      <c r="A461" t="inlineStr">
        <is>
          <t>Q2026021400218</t>
        </is>
      </c>
      <c r="B461" t="inlineStr">
        <is>
          <t>HCI</t>
        </is>
      </c>
      <c r="C461" t="inlineStr">
        <is>
          <t>HCI6.11.1_R1</t>
        </is>
      </c>
      <c r="D461">
        <f>===海外工单信息====
    海外工单ID：20260214860029
    事件等级：Priority1
    产品线：HCI::6.11.1_R1
====客户信息====
    客户ID：1163
    客户MDM ID：0cffa7c0eb1846ad9785afc47fe9a39d
    客户名称：Al Kendi IT services【United Arab Emirates】
    客户区域：United Arab Emirates
    客户类型：
====工单信息====
客服负责人：Chen Lan Bin
研发负责人：
【事件编号】Ticket#20260214860029
【版本信息】 HCI 
【CTI专家】陈平
【问题描述】环境断电导致主机重启
【业务影响】P1 虚拟机无法开机
【当前进展】 
1. 主机管理网能通 集群状态正常[图片]
2. 前台登录失败 后台可以登上
请求：虚拟机都关机了 需要尽快恢复业务</f>
        <v/>
      </c>
      <c r="E461" t="inlineStr">
        <is>
          <t>虚拟机</t>
        </is>
      </c>
      <c r="F461" t="inlineStr">
        <is>
          <t>虚拟机开关机</t>
        </is>
      </c>
      <c r="G461" t="inlineStr">
        <is>
          <t>根据客户描述“前台登录失败”以及“虚拟机无法开机”的症状，并结合断电重启的背景，问题可能涉及平台服务异常或虚拟机状态异常。请确认以下分类：
① 平台-018 控制台登录失败
   判断依据：客户明确描述【前台登录失败 后台可以登上】，断电重启后平台服务可能未完全恢复，导致管理控制台无法访问，概率估计 ~60%
② 虚拟机-003 虚拟机开机失败
   判断依据：客户明确描述业务影响为【P1 虚拟机无法开机】，断电可能导致虚拟机状态异常或存储锁定，从而引发开机失败，概率估计 ~35%
③ 以上都不是（请补充症状描述）
请回复 ① ② 或 ③ 完成确认。</t>
        </is>
      </c>
    </row>
    <row r="462">
      <c r="A462" t="inlineStr">
        <is>
          <t>Q2026021400212</t>
        </is>
      </c>
      <c r="B462" t="inlineStr">
        <is>
          <t>HCI</t>
        </is>
      </c>
      <c r="C462" t="inlineStr">
        <is>
          <t>HCI6.8.0_R2</t>
        </is>
      </c>
      <c r="D462" t="inlineStr">
        <is>
          <t>客户部分虚拟机使用FC存储故障挂起，手动重新开机无法正常启动提示镜像文件不可访问</t>
        </is>
      </c>
      <c r="E462" t="inlineStr">
        <is>
          <t>虚拟机</t>
        </is>
      </c>
      <c r="F462" t="inlineStr">
        <is>
          <t>虚拟机开关机</t>
        </is>
      </c>
      <c r="G462" t="inlineStr">
        <is>
          <t>根据客户描述“部分虚拟机故障挂起”、“手动开机提示镜像文件不可访问”且涉及“FC存储”，核心故障指向存储连通性或状态问题。
① 存储-024 FC存储部分主机无法访问
   判断依据：客户描述“部分虚拟机”出现挂起且无法启动，提示“镜像文件不可访问”，这通常意味着FC存储并非整体离线，而是特定主机或链路存在访问问题，导致运行在这些主机上的虚拟机无法读取磁盘文件，概率估计 ~60%
② 存储-023 FC存储状态离线
   判断依据：客户明确提及“FC存储故障”，若存储设备整体离线或链路完全中断，也会导致虚拟机无法访问镜像文件从而开机失败，概率估计 ~35%
③ 以上都不是（请补充症状描述）
请回复 ① ② 或 ③ 完成确认。</t>
        </is>
      </c>
    </row>
    <row r="463">
      <c r="A463" t="inlineStr">
        <is>
          <t>Q2026021400209</t>
        </is>
      </c>
      <c r="B463" t="inlineStr">
        <is>
          <t>HCI</t>
        </is>
      </c>
      <c r="C463" t="inlineStr">
        <is>
          <t>6.10.0_R2</t>
        </is>
      </c>
      <c r="D463" t="inlineStr">
        <is>
          <t>告警存储服务异常  虚拟机无法开机</t>
        </is>
      </c>
      <c r="E463" t="inlineStr">
        <is>
          <t>虚拟机</t>
        </is>
      </c>
      <c r="F463" t="inlineStr">
        <is>
          <t>虚拟机开关机</t>
        </is>
      </c>
      <c r="G463" t="inlineStr">
        <is>
          <t>根据您的描述，问题核心在于“存储服务异常”导致了“虚拟机无法开机”。存储服务异常是虚拟机无法开机的根本原因，因此优先归类为存储域故障；同时也提供虚拟机域故障作为备选，以防告警与实际根因不符。
请确认故障分类：
① 存储-019 虚拟存储状态异常（离线、服务异常、服务未启动等）
   判断依据：客户明确描述“告警存储服务异常”，此为导致虚拟机无法开机的底层根因，概率估计 ~80%
② 虚拟机-003 虚拟机开机失败
   判断依据：客户描述“虚拟机无法开机”，若存储服务告警仅为伴随现象或误报，则故障定位于虚拟机生命周期管理，概率估计 ~15%
③ 以上都不是（请补充症状描述）
请回复 ① ② 或 ③ 完成确认。</t>
        </is>
      </c>
    </row>
    <row r="464">
      <c r="A464" t="inlineStr">
        <is>
          <t>Q2026021400016</t>
        </is>
      </c>
      <c r="B464" t="inlineStr">
        <is>
          <t>HCI</t>
        </is>
      </c>
      <c r="C464" t="inlineStr">
        <is>
          <t>HCI6.8.0_R1</t>
        </is>
      </c>
      <c r="D464" t="inlineStr">
        <is>
          <t>虚拟机挂掉异常，目前影响业务需要看下</t>
        </is>
      </c>
      <c r="E464" t="inlineStr">
        <is>
          <t>虚拟机</t>
        </is>
      </c>
      <c r="F464" t="inlineStr">
        <is>
          <t>虚拟机开关机</t>
        </is>
      </c>
      <c r="G464" t="inlineStr">
        <is>
          <t>根据您提供的描述“虚拟机挂掉异常”，这通常指向虚拟机运行状态的异常终止或无响应。结合 HCI 故障分类体系，您的问题最符合以下分类，请确认：
① 虚拟机-039 虚拟机卡死无响应
   判断依据：客户描述“虚拟机挂掉”，通常指虚拟机进程僵死、无法操作或状态异常，业务中断，概率估计 ~60%
② 虚拟机-003 虚拟机开机失败
   判断依据：若“挂掉”后尝试恢复业务但虚拟机无法启动，或虚拟机处于关机状态无法拉起，概率估计 ~30%
③ 以上都不是（请补充症状描述）
请回复 ① ② 或 ③ 完成确认。</t>
        </is>
      </c>
    </row>
    <row r="465">
      <c r="A465" t="inlineStr">
        <is>
          <t>Q2026021300409</t>
        </is>
      </c>
      <c r="B465" t="inlineStr">
        <is>
          <t>HCI</t>
        </is>
      </c>
      <c r="C465" t="inlineStr">
        <is>
          <t>6.10.0_R2</t>
        </is>
      </c>
      <c r="D465" t="inlineStr">
        <is>
          <t>【服务升级】：服务商通过数字化服务平台发起服务升级，请尽快联系服务商处理！&lt;br&gt;【工单描述】：虚拟机异常自动关机，需要协助排查原因</t>
        </is>
      </c>
      <c r="E465" t="inlineStr">
        <is>
          <t>虚拟机</t>
        </is>
      </c>
      <c r="F465" t="inlineStr">
        <is>
          <t>虚拟机开关机</t>
        </is>
      </c>
      <c r="G465" t="inlineStr">
        <is>
          <t>根据客户描述“虚拟机异常自动关机”，这是典型的非预期状态变更。在 HCI 平台中，虚拟机自动关闭通常由高可用（HA）机制触发（如主机隔离、存储脑裂）或宿主机自身掉电引起。
您的问题可能属于以下故障之一，请确认：
① 虚拟机-033 虚拟机异常HA
   判断依据：虚拟机无人工干预自动关机，最常见原因为平台 HA 机制被错误触发（如主机心跳丢失、存储脑裂导致隔离），导致虚拟机被保护性关闭或重启，概率估计 ~60%
② 平台-005 主机离线或异常重启
   判断依据：若宿主机发生硬件掉电、内核恐慌或死机，会导致运行在其上的虚拟机随之突然中断（表现为自动关机），需排查物理主机状态，概率估计 ~35%
③ 以上都不是（请补充症状描述）
请回复 ① ② 或 ③ 完成确认。</t>
        </is>
      </c>
    </row>
    <row r="466">
      <c r="A466" t="inlineStr">
        <is>
          <t>Q2026021300281</t>
        </is>
      </c>
      <c r="B466" t="inlineStr">
        <is>
          <t>HCI</t>
        </is>
      </c>
      <c r="C466" t="inlineStr">
        <is>
          <t>6.8.0R2</t>
        </is>
      </c>
      <c r="D466" t="inlineStr">
        <is>
          <t>HCI虚拟机重启后启动不了了</t>
        </is>
      </c>
      <c r="E466" t="inlineStr">
        <is>
          <t>虚拟机</t>
        </is>
      </c>
      <c r="F466" t="inlineStr">
        <is>
          <t>虚拟机开关机</t>
        </is>
      </c>
      <c r="G466" t="inlineStr">
        <is>
          <t>根据您描述的“虚拟机重启后启动不了”这一现象，问题可能属于以下故障分类，请确认：
① **虚拟机-005 虚拟机重启失败**
   判断依据：描述中明确指出触发场景为“重启”，且最终状态为“启动不了”，直接对应重启任务失败的场景。概率估计 ~80%
② **虚拟机-003 虚拟机开机失败**
   判断依据：若“重启”仅为时间背景（例如手动关机后再开机失败），核心故障表现为虚拟机无法进入运行状态，符合开机失败定义。概率估计 ~15%
③ 以上都不是（请补充症状描述）
请回复 ① ② 或 ③ 完成确认。</t>
        </is>
      </c>
    </row>
    <row r="467">
      <c r="A467" t="inlineStr">
        <is>
          <t>Q2026021200422</t>
        </is>
      </c>
      <c r="B467" t="inlineStr">
        <is>
          <t>HCI</t>
        </is>
      </c>
      <c r="C467" t="inlineStr">
        <is>
          <t>6.10.0R2</t>
        </is>
      </c>
      <c r="D467" t="inlineStr">
        <is>
          <t>欧拉系统虚拟机重启之后进不去系统</t>
        </is>
      </c>
      <c r="E467" t="inlineStr">
        <is>
          <t>虚拟机</t>
        </is>
      </c>
      <c r="F467" t="inlineStr">
        <is>
          <t>虚拟机开关机</t>
        </is>
      </c>
      <c r="G467" t="inlineStr">
        <is>
          <t>根据您提供的“欧拉系统虚拟机重启之后进不去系统”描述，主要涉及重启操作异常或操作系统启动异常，故障分类确认如下：
根据 关键动作“重启”与结果“进不去系统”，您的问题可能属于以下故障之一，请确认：
① 虚拟机-005 虚拟机重启失败
   判断依据：用户明确描述触发“重启”操作后无法进入系统，若平台任务列表中重启任务报错或超时，归为此类，概率估计 ~50%
② 虚拟机-041 虚拟机内部黑屏
   判断依据：欧拉系统无图形界面，若重启后虚拟机处于运行状态但控制台无输出或卡在启动阶段（黑屏/光标闪烁），符合“进不去系统”症状，概率估计 ~40%
③ 以上都不是（请补充症状描述）
请回复 ① ② 或 ③ 完成确认。</t>
        </is>
      </c>
    </row>
    <row r="468">
      <c r="A468" t="inlineStr">
        <is>
          <t>Q2026021101141</t>
        </is>
      </c>
      <c r="B468" t="inlineStr">
        <is>
          <t>HCI</t>
        </is>
      </c>
      <c r="C468" t="inlineStr">
        <is>
          <t>6.9.0</t>
        </is>
      </c>
      <c r="D468" t="inlineStr">
        <is>
          <t>虚拟机异常重启排查
ps：顾德意处理</t>
        </is>
      </c>
      <c r="E468" t="inlineStr">
        <is>
          <t>虚拟机</t>
        </is>
      </c>
      <c r="F468" t="inlineStr">
        <is>
          <t>虚拟机开关机</t>
        </is>
      </c>
      <c r="G468" t="inlineStr">
        <is>
          <t>根据客户描述的关键词“虚拟机异常重启”，该现象通常由虚拟机高可用机制触发或宿主机故障导致。以下是可能的故障分类：
① 虚拟机-033 虚拟机异常HA
   判断依据：虚拟机异常重启最常见原因为平台检测到宿主机故障或心跳丢失，触发了 HA（高可用）迁移机制，导致虚拟机在其他主机重新拉起，概率估计 ~60%
② 平台-005 主机离线或异常重启
   判断依据：虚拟机重启往往是宿主机本身发生掉电、内核崩溃或进程异常的伴随现象，需排查宿主机状态，概率估计 ~30%
③ 以上都不是（请补充症状描述）
请回复 ① ② 或 ③ 完成确认。</t>
        </is>
      </c>
    </row>
    <row r="469">
      <c r="A469" t="inlineStr">
        <is>
          <t>Q2026021101129</t>
        </is>
      </c>
      <c r="B469" t="inlineStr">
        <is>
          <t>HCI</t>
        </is>
      </c>
      <c r="C469" t="inlineStr">
        <is>
          <t>6.10.0_R2</t>
        </is>
      </c>
      <c r="D469" t="inlineStr">
        <is>
          <t>windows虚拟机无法正常启动</t>
        </is>
      </c>
      <c r="E469" t="inlineStr">
        <is>
          <t>虚拟机</t>
        </is>
      </c>
      <c r="F469" t="inlineStr">
        <is>
          <t>虚拟机开关机</t>
        </is>
      </c>
      <c r="G469" t="inlineStr">
        <is>
          <t>根据客户描述“windows虚拟机无法正常启动”，该问题可能属于以下故障之一，请确认：
① 虚拟机-003 虚拟机开机失败
   判断依据：客户直接描述“无法启动”，通常指平台层面开机任务执行失败或虚拟机无法进入运行状态，概率估计 ~60%
② 虚拟机-042 虚拟机内部蓝屏
   判断依据：Windows虚拟机特有的启动故障现象，常因系统崩溃导致无法正常进入系统，概率估计 ~30%
③ 以上都不是（请补充症状描述）
请回复 ① ② 或 ③ 完成确认。</t>
        </is>
      </c>
    </row>
    <row r="470">
      <c r="A470" t="inlineStr">
        <is>
          <t>Q2026021000863</t>
        </is>
      </c>
      <c r="B470" t="inlineStr">
        <is>
          <t>HCI</t>
        </is>
      </c>
      <c r="C470" t="inlineStr">
        <is>
          <t>6.0.1_R1</t>
        </is>
      </c>
      <c r="D470" t="inlineStr">
        <is>
          <t>虚拟机启动失败</t>
        </is>
      </c>
      <c r="E470" t="inlineStr">
        <is>
          <t>虚拟机</t>
        </is>
      </c>
      <c r="F470" t="inlineStr">
        <is>
          <t>虚拟机开关机</t>
        </is>
      </c>
      <c r="G470" t="inlineStr">
        <is>
          <t>根据客户描述“虚拟机启动失败”，该现象直接对应虚拟机生命周期管理的核心操作异常，问题可能属于以下故障：
① 虚拟机-003 虚拟机开机失败
   判断依据：客户描述关键词“启动失败”与该分类定义完全一致，涵盖因资源不足、存储异常、授权限制或平台服务导致的虚拟机无法开机场景，概率估计 ~95%
③ 以上都不是（请补充症状描述）
请回复 ① 或 ③ 完成确认。</t>
        </is>
      </c>
    </row>
    <row r="471">
      <c r="A471" t="inlineStr">
        <is>
          <t>Q2026021000392</t>
        </is>
      </c>
      <c r="B471" t="inlineStr">
        <is>
          <t>HCI</t>
        </is>
      </c>
      <c r="C471" t="inlineStr">
        <is>
          <t>6.11.1_R1</t>
        </is>
      </c>
      <c r="D471" t="inlineStr">
        <is>
          <t>内部重启虚拟机，需要查原因</t>
        </is>
      </c>
      <c r="E471" t="inlineStr">
        <is>
          <t>虚拟机</t>
        </is>
      </c>
      <c r="F471" t="inlineStr">
        <is>
          <t>虚拟机开关机</t>
        </is>
      </c>
      <c r="G471" t="inlineStr">
        <is>
          <t>根据“内部重启虚拟机，需要查原因”的描述，这通常指向虚拟机发生了非预期的自动重启。此类现象主要由两方面原因引起：一是平台侧的高可用（HA）机制触发，二是虚拟机内部操作系统崩溃（如蓝屏、Kernel Panic）。
您的问题可能属于以下故障之一，请确认：
① **虚拟机-033 虚拟机异常HA**
   判断依据：虚拟机在无人工干预情况下自动重启，常因宿主机故障或HA策略误触发导致平台侧强制重启虚拟机。概率估计 ~50%
② **虚拟机-042 虚拟机内部蓝屏**
   判断依据：若虚拟机内部操作系统崩溃（Windows蓝屏/Linux Panic），系统会自动重启，表现为“内部重启”。概率估计 ~40%
③ 以上都不是（请补充症状描述）
请回复 ① ② 或 ③ 完成确认。</t>
        </is>
      </c>
    </row>
    <row r="472">
      <c r="A472" t="inlineStr">
        <is>
          <t>Q2026021000369</t>
        </is>
      </c>
      <c r="B472" t="inlineStr">
        <is>
          <t>HCI</t>
        </is>
      </c>
      <c r="C472" t="inlineStr"/>
      <c r="D472" t="inlineStr">
        <is>
          <t>超融合winserver虚拟机关机重启黑屏进不去，需要限额哦住。</t>
        </is>
      </c>
      <c r="E472" t="inlineStr">
        <is>
          <t>虚拟机</t>
        </is>
      </c>
      <c r="F472" t="inlineStr">
        <is>
          <t>虚拟机开关机</t>
        </is>
      </c>
      <c r="G472" t="inlineStr">
        <is>
          <t>根据客户描述中明确的“黑屏”关键字，且发生在 Windows Server 虚拟机重启过程中，问题定位较为明确。
根据 [客户描述："winserver虚拟机关机重启黑屏进不去"]，您的问题可能属于以下故障之一，请确认：
① 虚拟机-041 虚拟机内部黑屏
   判断依据：用户明确提到虚拟机在关机重启后出现“黑屏”，且无法进入系统，符合虚拟机运行但显示输出异常的特征，概率估计 ~90%
② 虚拟机-003 虚拟机开机失败
   判断依据：若虚拟机在重启过程中卡死或无法正常启动进程，导致无法进入系统，用户可能描述为黑屏（实际可能为无信号或开机任务报错），概率估计 ~10%
③ 以上都不是（请补充症状描述）
请回复 ① ② 或 ③ 完成确认。</t>
        </is>
      </c>
    </row>
    <row r="473">
      <c r="A473" t="inlineStr">
        <is>
          <t>Q2026021000323</t>
        </is>
      </c>
      <c r="B473" t="inlineStr">
        <is>
          <t>HCI</t>
        </is>
      </c>
      <c r="C473" t="inlineStr"/>
      <c r="D473" t="inlineStr">
        <is>
          <t>SCP虚拟机启动失败</t>
        </is>
      </c>
      <c r="E473" t="inlineStr">
        <is>
          <t>虚拟机</t>
        </is>
      </c>
      <c r="F473" t="inlineStr">
        <is>
          <t>虚拟机开关机</t>
        </is>
      </c>
      <c r="G473" t="inlineStr">
        <is>
          <t>根据客户描述“SCP虚拟机启动失败”，您的问题可能属于以下故障之一，请确认：
① 虚拟机-003 虚拟机开机失败
   判断依据：客户明确描述虚拟机“启动失败”，直接对应虚拟机生命周期管理中的开机操作异常，概率估计 ~99%
③ 以上都不是（请补充症状描述）
请回复 ① 或 ③ 完成确认。</t>
        </is>
      </c>
    </row>
    <row r="474">
      <c r="A474" t="inlineStr">
        <is>
          <t>Q2026021000036</t>
        </is>
      </c>
      <c r="B474" t="inlineStr">
        <is>
          <t>HCI</t>
        </is>
      </c>
      <c r="C474" t="inlineStr"/>
      <c r="D474" t="inlineStr">
        <is>
          <t>部分虚拟机卡不起来，有核心虚拟机</t>
        </is>
      </c>
      <c r="E474" t="inlineStr">
        <is>
          <t>虚拟机</t>
        </is>
      </c>
      <c r="F474" t="inlineStr">
        <is>
          <t>虚拟机开关机</t>
        </is>
      </c>
      <c r="G474" t="inlineStr">
        <is>
          <t>根据用户描述“部分虚拟机卡不起来”，故障现象集中在虚拟机生命周期管理的启动环节。
① 虚拟机-003 虚拟机开机失败
   判断依据：用户描述“虚拟机卡不起来”，即执行开机操作后虚拟机无法进入正常运行状态（可能卡在启动进度条、任务超时或直接报错），属于典型的开机失败场景，概率估计 ~95%
③ 以上都不是（请补充症状描述）
请回复 ① 或 ③ 完成确认。</t>
        </is>
      </c>
    </row>
    <row r="475">
      <c r="A475" t="inlineStr">
        <is>
          <t>Q2026020901431</t>
        </is>
      </c>
      <c r="B475" t="inlineStr">
        <is>
          <t>HCI</t>
        </is>
      </c>
      <c r="C475" t="inlineStr">
        <is>
          <t>6.10.0</t>
        </is>
      </c>
      <c r="D475" t="inlineStr">
        <is>
          <t>派生的虚拟机进不去系统</t>
        </is>
      </c>
      <c r="E475" t="inlineStr">
        <is>
          <t>虚拟机</t>
        </is>
      </c>
      <c r="F475" t="inlineStr">
        <is>
          <t>虚拟机开关机</t>
        </is>
      </c>
      <c r="G475" t="inlineStr">
        <is>
          <t>根据您提供的线索“派生的虚拟机进不去系统”，这属于典型的虚拟机生命周期操作后出现的可用性问题。
分析如下：
1.  **关键实体**：虚拟机（由模版派生而来）。
2.  **关键症状**：进不去系统。这通常意味着虚拟机已经创建并可能已经开机，但操作系统层面无法正常加载（如蓝屏、黑屏、卡启动）。
3.  **关联分析**：
    -   既然提到了“派生”，问题很可能与源模版有关（如模版规范问题、驱动不兼容、SID冲突等），或者派生过程本身存在数据损坏。
    -   如果虚拟机已经处于运行状态但无法进入系统，最常见的表现是蓝屏或黑屏。
请确认以下最可能的故障分类：
① **虚拟机-012 虚拟机模版派生失败**
   判断依据：故障场景明确提及“派生”操作，虚拟机无法进入系统常因模版规范配置错误（如驱动注入失败、最小配置不足）或派生过程数据异常导致，概率估计 ~60%
② **虚拟机-042 虚拟机内部蓝屏**
   判断依据：“进不去系统”在HCI排障中常表现为虚拟机启动后出现蓝屏，可能是派生后的系统文件损坏或驱动冲突，概率估计 ~30%
③ 以上都不是（请补充症状描述）
请回复 ① ② 或 ③ 完成确认。</t>
        </is>
      </c>
    </row>
    <row r="476">
      <c r="A476" t="inlineStr">
        <is>
          <t>Q2026020900793</t>
        </is>
      </c>
      <c r="B476" t="inlineStr">
        <is>
          <t>HCI</t>
        </is>
      </c>
      <c r="C476" t="inlineStr"/>
      <c r="D476" t="inlineStr">
        <is>
          <t xml:space="preserve">虚拟机无法开机内存不足 </t>
        </is>
      </c>
      <c r="E476" t="inlineStr">
        <is>
          <t>虚拟机</t>
        </is>
      </c>
      <c r="F476" t="inlineStr">
        <is>
          <t>虚拟机开关机</t>
        </is>
      </c>
      <c r="G476" t="inlineStr">
        <is>
          <t>根据您提供的关键信息“虚拟机无法开机”及具体原因“内存不足”，该问题属于典型的虚拟机启动操作失败场景。
请您确认以下分类：
① **虚拟机-003 虚拟机开机失败**
   判断依据：用户描述“虚拟机无法开机”，并明确指出原因为“内存不足”，直接对应虚拟机生命周期管理中的启动失败场景，概率估计 ~95%
③ 以上都不是（请补充症状描述）
请回复 ① 或 ③ 完成确认。</t>
        </is>
      </c>
    </row>
    <row r="477">
      <c r="A477" t="inlineStr">
        <is>
          <t>Q2026020800215</t>
        </is>
      </c>
      <c r="B477" t="inlineStr">
        <is>
          <t>HCI</t>
        </is>
      </c>
      <c r="C477" t="inlineStr"/>
      <c r="D477" t="inlineStr">
        <is>
          <t>虚拟存储掉线，虚拟机无法开机</t>
        </is>
      </c>
      <c r="E477" t="inlineStr">
        <is>
          <t>虚拟机</t>
        </is>
      </c>
      <c r="F477" t="inlineStr">
        <is>
          <t>虚拟机开关机</t>
        </is>
      </c>
      <c r="G477" t="inlineStr">
        <is>
          <t>根据您的描述“虚拟存储掉线，虚拟机无法开机”，故障现象明确指向存储基础设施层面，虚拟机无法开机是由于存储不可访问导致的连锁反应。您的问题可能属于以下故障之一，请确认：
① 存储-019 虚拟存储状态异常（离线、服务异常、服务未启动等）
   判断依据：客户描述“虚拟存储掉线”，直接对应存储离线或服务异常状态，这是导致虚拟机无法开机的根本原因，概率估计 ~95%
② 虚拟机-003 虚拟机开机失败
   判断依据：客户描述“虚拟机无法开机”，这是存储掉线后的表象症状，概率估计 ~40%
③ 以上都不是（请补充症状描述）
请回复 ① ② 或 ③ 完成确认。</t>
        </is>
      </c>
    </row>
    <row r="478">
      <c r="A478" t="inlineStr">
        <is>
          <t>Q2026020700309</t>
        </is>
      </c>
      <c r="B478" t="inlineStr">
        <is>
          <t>HCI</t>
        </is>
      </c>
      <c r="C478" t="inlineStr">
        <is>
          <t>5.8.8R1</t>
        </is>
      </c>
      <c r="D478" t="inlineStr">
        <is>
          <t>数据库虚拟机关机不了</t>
        </is>
      </c>
      <c r="E478" t="inlineStr">
        <is>
          <t>虚拟机</t>
        </is>
      </c>
      <c r="F478" t="inlineStr">
        <is>
          <t>虚拟机开关机</t>
        </is>
      </c>
      <c r="G478" t="inlineStr">
        <is>
          <t>根据 [用户描述“数据库虚拟机关机不了”]，您的问题可能属于以下故障之一，请确认：
① 虚拟机-004 虚拟机关机失败
   判断依据：客户描述直接对应虚拟机关机操作无法完成的现象，精准匹配关机失败场景，概率估计 ~98%
③ 以上都不是（请补充症状描述）
请回复 ① 或 ③ 完成确认。</t>
        </is>
      </c>
    </row>
    <row r="479">
      <c r="A479" t="inlineStr">
        <is>
          <t>Q2026020700294</t>
        </is>
      </c>
      <c r="B479" t="inlineStr">
        <is>
          <t>HCI</t>
        </is>
      </c>
      <c r="C479" t="inlineStr">
        <is>
          <t>5.3R1</t>
        </is>
      </c>
      <c r="D479" t="inlineStr">
        <is>
          <t>虚拟机重启之后无法进系统</t>
        </is>
      </c>
      <c r="E479" t="inlineStr">
        <is>
          <t>虚拟机</t>
        </is>
      </c>
      <c r="F479" t="inlineStr">
        <is>
          <t>虚拟机开关机</t>
        </is>
      </c>
      <c r="G479" t="inlineStr">
        <is>
          <t>根据客户描述“虚拟机重启之后无法进系统”，这通常指向虚拟机操作系统层面的引导失败或重启操作本身的状态异常。系统无法进入可能表现为黑屏、卡Logo或重启任务失败导致虚拟机处于关闭状态。
您的问题可能属于以下故障之一，请确认：
① 虚拟机-041 虚拟机内部黑屏
   判断依据：客户描述“无法进系统”，最常见现象为虚拟机电源已开启但控制台显示黑屏、卡在引导界面或操作系统启动失败，概率估计 ~60%
② 虚拟机-005 虚拟机重启失败
   判断依据：故障场景明确为“重启之后”，若平台任务显示重启异常或虚拟机当前处于关机/挂起状态，则属于重启流程失败，概率估计 ~30%
③ 以上都不是（请补充症状描述）
请回复 ① ② 或 ③ 完成确认。</t>
        </is>
      </c>
    </row>
    <row r="480">
      <c r="A480" t="inlineStr">
        <is>
          <t>Q2026020601773</t>
        </is>
      </c>
      <c r="B480" t="inlineStr">
        <is>
          <t>HCI</t>
        </is>
      </c>
      <c r="C480" t="inlineStr">
        <is>
          <t>6.8.0_R1</t>
        </is>
      </c>
      <c r="D480" t="inlineStr">
        <is>
          <t>【目的】用户有台虚拟机无法启动
1.控制台检查虚拟机发现无法开机进入引导，怀疑虚拟机系统盘损坏
2.关闭虚拟机后从快照节点克隆虚一台拟机后，把故障虚拟机磁盘删除后添加到克隆虚拟机上后无法挂载，提示物理磁盘冲突
HCI版本：SANGFOR HCI 6.8.0_R1 Build20230429
KEY ID：20231103A0000540
用户名称：韶关市鸿昊工程管理有限公司</t>
        </is>
      </c>
      <c r="E480" t="inlineStr">
        <is>
          <t>虚拟机</t>
        </is>
      </c>
      <c r="F480" t="inlineStr">
        <is>
          <t>虚拟机开关机</t>
        </is>
      </c>
      <c r="G480" t="inlineStr"/>
    </row>
    <row r="481">
      <c r="A481" t="inlineStr">
        <is>
          <t>Q2026020601637</t>
        </is>
      </c>
      <c r="B481" t="inlineStr">
        <is>
          <t>HCI</t>
        </is>
      </c>
      <c r="C481" t="inlineStr"/>
      <c r="D481" t="inlineStr">
        <is>
          <t>一台虚拟机无法开机需要协助处理</t>
        </is>
      </c>
      <c r="E481" t="inlineStr">
        <is>
          <t>虚拟机</t>
        </is>
      </c>
      <c r="F481" t="inlineStr">
        <is>
          <t>虚拟机开关机</t>
        </is>
      </c>
      <c r="G481" t="inlineStr">
        <is>
          <t>根据用户描述“一台虚拟机无法开机”，这是典型的虚拟机生命周期管理问题，请确认：
① **虚拟机-003 虚拟机开机失败**
   判断依据：用户明确描述“虚拟机无法开机”，直接对应虚拟机电源操作失败的场景，概率估计 ~99%
③ 以上都不是（请补充症状描述）
请回复 ① 或 ③ 完成确认。</t>
        </is>
      </c>
    </row>
    <row r="482">
      <c r="A482" t="inlineStr">
        <is>
          <t>Q2026020601369</t>
        </is>
      </c>
      <c r="B482" t="inlineStr">
        <is>
          <t>HCI</t>
        </is>
      </c>
      <c r="C482" t="inlineStr"/>
      <c r="D482" t="inlineStr">
        <is>
          <t>用scmt迁移以后开不起来</t>
        </is>
      </c>
      <c r="E482" t="inlineStr">
        <is>
          <t>虚拟机</t>
        </is>
      </c>
      <c r="F482" t="inlineStr">
        <is>
          <t>虚拟机开关机</t>
        </is>
      </c>
      <c r="G482" t="inlineStr">
        <is>
          <t>根据您的描述“用scmt迁移以后开不起来”，问题的关键在于“SCMT迁移”这一操作与“开机失败”结果的关联。
故障分析如下：
1.  **关键实体与操作**：涉及虚拟机、SCMT（深信服迁移工具）迁移操作。
2.  **故障现象**：迁移完成后虚拟机无法启动。
3.  **匹配分类**：
    -   首先匹配到 **虚拟机-014 虚拟机scmt迁移失败**。虽然现象是“开不起来”，但在HCI故障体系中，由SCMT迁移直接导致的业务不可用（包括迁移任务失败或迁移后系统无法引导）通常归类于此，以便通过SCMT相关的诊断流程（如检查驱动注入、引导模式、快照合并等）进行排查。
    -   其次匹配到 **虚拟机-003 虚拟机开机失败**。如果迁移任务本身显示成功，虚拟机已存在于平台，仅是启动过程报错，则符合标准开机失败定义。
请您确认具体的故障分类：
① 虚拟机-014 虚拟机scmt迁移失败
   判断依据：客户明确提及“scmt迁移”操作，迁移后无法开机通常涉及系统适配、驱动注入或快照处理等迁移特有问题，概率估计 ~60%
② 虚拟机-003 虚拟机开机失败
   判断依据：故障的最终表现确认为“开不起来”，若迁移任务已完成且虚拟机已创建，本质属于开机流程故障，概率估计 ~35%
③ 以上都不是（请补充症状描述）
请回复 ① ② 或 ③ 完成确认。</t>
        </is>
      </c>
    </row>
    <row r="483">
      <c r="A483" t="inlineStr">
        <is>
          <t>Q2026020600540</t>
        </is>
      </c>
      <c r="B483" t="inlineStr">
        <is>
          <t>HCI</t>
        </is>
      </c>
      <c r="C483" t="inlineStr">
        <is>
          <t>6.11.1</t>
        </is>
      </c>
      <c r="D483" t="inlineStr">
        <is>
          <t>DMP 虚拟机卡死了，重启不了，重启超时，界面上不允许重启电源，</t>
        </is>
      </c>
      <c r="E483" t="inlineStr">
        <is>
          <t>虚拟机</t>
        </is>
      </c>
      <c r="F483" t="inlineStr">
        <is>
          <t>虚拟机开关机</t>
        </is>
      </c>
      <c r="G483" t="inlineStr">
        <is>
          <t>根据客户描述“DMP 虚拟机卡死了”、“重启超时”及“界面上不允许重启电源”，您的问题可能属于以下故障之一，请确认：
① 虚拟机-039 虚拟机卡死无响应
   判断依据：客户明确描述“虚拟机卡死了”，且伴随“重启超时”、“界面不允许操作电源”现象，符合虚拟机进程僵死或状态锁死的典型特征。概率估计 ~70%
② 虚拟机-005 虚拟机重启失败
   判断依据：客户描述“重启不了，重启超时”，直接指向重启操作未能成功完成的故障现象。概率估计 ~25%
③ 以上都不是（请补充症状描述）
请回复 ① ② 或 ③ 完成确认。</t>
        </is>
      </c>
    </row>
    <row r="484">
      <c r="A484" t="inlineStr">
        <is>
          <t>Q2026020501920</t>
        </is>
      </c>
      <c r="B484" t="inlineStr">
        <is>
          <t>HCI</t>
        </is>
      </c>
      <c r="C484" t="inlineStr"/>
      <c r="D484" t="inlineStr">
        <is>
          <t>页面点击A虚拟机详情的时候会跳到B虚拟机，如果今天关闭A虚拟机就关闭成了B虚拟机</t>
        </is>
      </c>
      <c r="E484" t="inlineStr">
        <is>
          <t>虚拟机</t>
        </is>
      </c>
      <c r="F484" t="inlineStr">
        <is>
          <t>虚拟机开关机</t>
        </is>
      </c>
      <c r="G484" t="inlineStr">
        <is>
          <t>根据客户描述“点击A虚拟机详情跳转到B虚拟机”、“关闭A虚拟机实际关闭了B虚拟机”，这表明管理平台界面显示与实际后台对象存在映射错误或缓存错乱，属于平台层的表现层或逻辑层故障，同时也导致了具体的关机操作结果错误。
请确认以下故障分类：
① **平台-L1 平台**
   判断依据：用户在控制台界面操作时出现对象映射错误（点击A跳转B、操作A生效B），属于典型的平台管理面/UI逻辑异常，概率估计 ~60%
② **虚拟机-004 虚拟机关机失败**
   判断依据：用户意图关闭虚拟机A，但实际结果为B被关闭，A未按预期关闭，从业务结果上构成关机操作失败，概率估计 ~30%
③ 以上都不是（请补充症状描述）
请回复 ① ② 或 ③ 完成确认。</t>
        </is>
      </c>
    </row>
    <row r="485">
      <c r="A485" t="inlineStr">
        <is>
          <t>Q2026020501888</t>
        </is>
      </c>
      <c r="B485" t="inlineStr">
        <is>
          <t>HCI</t>
        </is>
      </c>
      <c r="C485" t="inlineStr">
        <is>
          <t>6.10.0</t>
        </is>
      </c>
      <c r="D485" t="inlineStr">
        <is>
          <t>反馈虚拟机安装了.net驱动后，开机无法进入系统需要协助修复</t>
        </is>
      </c>
      <c r="E485" t="inlineStr">
        <is>
          <t>虚拟机</t>
        </is>
      </c>
      <c r="F485" t="inlineStr">
        <is>
          <t>虚拟机开关机</t>
        </is>
      </c>
      <c r="G485" t="inlineStr">
        <is>
          <t>根据客户描述“虚拟机安装了.net驱动后，开机无法进入系统”，这是典型的虚拟机内部操作系统或驱动故障。由于驱动冲突通常会导致系统崩溃（蓝屏）或启动挂起（黑屏/卡顿），且问题发生在操作系统加载阶段而非平台开机阶段，建议确认以下具体表现：
① 虚拟机-042 虚拟机内部蓝屏
   判断依据：客户反馈安装 .net 驱动后无法进入系统，驱动兼容性故障最常见的表现为 Windows 系统崩溃蓝屏（BSOD），概率估计 ~60%
② 虚拟机-041 虚拟机内部黑屏
   判断依据：若驱动导致系统核心进程卡死或显示服务异常，可能表现为虚拟机运行中但黑屏无显示，概率估计 ~30%
③ 以上都不是（请补充症状描述）
请回复 ① ② 或 ③ 完成确认。</t>
        </is>
      </c>
    </row>
    <row r="486">
      <c r="A486" t="inlineStr">
        <is>
          <t>Q2026020501829</t>
        </is>
      </c>
      <c r="B486" t="inlineStr">
        <is>
          <t>HCI</t>
        </is>
      </c>
      <c r="C486" t="inlineStr"/>
      <c r="D486" t="inlineStr">
        <is>
          <t>HCI，服务器 和虚拟机都需要重启，需要协助保障</t>
        </is>
      </c>
      <c r="E486" t="inlineStr">
        <is>
          <t>虚拟机</t>
        </is>
      </c>
      <c r="F486" t="inlineStr">
        <is>
          <t>虚拟机开关机</t>
        </is>
      </c>
      <c r="G486" t="inlineStr"/>
    </row>
    <row r="487">
      <c r="A487" t="inlineStr">
        <is>
          <t>Q2026020501168</t>
        </is>
      </c>
      <c r="B487" t="inlineStr">
        <is>
          <t>HCI</t>
        </is>
      </c>
      <c r="C487" t="inlineStr"/>
      <c r="D487" t="inlineStr">
        <is>
          <t>openeular从vmware迁移过来到HCI里面启动失败</t>
        </is>
      </c>
      <c r="E487" t="inlineStr">
        <is>
          <t>虚拟机</t>
        </is>
      </c>
      <c r="F487" t="inlineStr">
        <is>
          <t>虚拟机开关机</t>
        </is>
      </c>
      <c r="G487" t="inlineStr">
        <is>
          <t>根据客户描述“openeular从vmware迁移过来到HCI里面启动失败”，这通常涉及迁移后的兼容性或配置问题。您的问题可能属于以下故障之一，请确认：
① 虚拟机-003 虚拟机开机失败
   判断依据：用户明确描述“启动失败”，若平台提示“开机失败”或任务中心显示开机任务错误，优先归类于此，概率估计 ~55%
② 虚拟机-042 虚拟机内部蓝屏
   判断依据：VMware迁移至HCI常见因磁盘控制器驱动（如LSI Logic改为VirtIO）或引导模式不匹配导致操作系统内核崩溃，虽然openEuler无蓝屏，但现象符合“系统启动崩溃”，概率估计 ~40%
③ 以上都不是（请补充症状描述）
请回复 ① ② 或 ③ 完成确认。</t>
        </is>
      </c>
    </row>
    <row r="488">
      <c r="A488" t="inlineStr">
        <is>
          <t>Q2026020500945</t>
        </is>
      </c>
      <c r="B488" t="inlineStr">
        <is>
          <t>HCI</t>
        </is>
      </c>
      <c r="C488" t="inlineStr">
        <is>
          <t>6.3.0_R2</t>
        </is>
      </c>
      <c r="D488" t="inlineStr">
        <is>
          <t>昨天打了补丁后，客户反馈说其中一个虚拟机的服务起不来了</t>
        </is>
      </c>
      <c r="E488" t="inlineStr">
        <is>
          <t>虚拟机</t>
        </is>
      </c>
      <c r="F488" t="inlineStr">
        <is>
          <t>虚拟机开关机</t>
        </is>
      </c>
      <c r="G488" t="inlineStr">
        <is>
          <t>根据 [客户描述“虚拟机服务起不来”且发生在“打补丁后”]，您的问题可能属于以下故障之一，请确认：
① 虚拟机-043 虚拟机内部软件使用异常
   判断依据：客户描述“服务起不来”，通常指虚拟机内部的业务应用软件或系统服务异常，概率估计 ~60%
② 虚拟机-003 虚拟机开机失败
   判断依据：非专业用户常将“虚拟机无法开机”描述为“服务起不来”，需确认虚拟机运行状态是否正常，概率估计 ~35%
③ 以上都不是（请补充症状描述）
请回复 ① ② 或 ③ 完成确认。</t>
        </is>
      </c>
    </row>
    <row r="489">
      <c r="A489" t="inlineStr">
        <is>
          <t>Q2026020500744</t>
        </is>
      </c>
      <c r="B489" t="inlineStr">
        <is>
          <t>HCI</t>
        </is>
      </c>
      <c r="C489" t="inlineStr"/>
      <c r="D489" t="inlineStr">
        <is>
          <t>window虚拟机宕机</t>
        </is>
      </c>
      <c r="E489" t="inlineStr">
        <is>
          <t>虚拟机</t>
        </is>
      </c>
      <c r="F489" t="inlineStr">
        <is>
          <t>虚拟机开关机</t>
        </is>
      </c>
      <c r="G489" t="inlineStr">
        <is>
          <t>根据用户描述“window虚拟机宕机”，这是虚拟机运行中断的典型表现，可能属于以下故障之一：
① 虚拟机-039 虚拟机卡死无响应
   判断依据：用户描述“虚拟机宕机”，通常指虚拟机运行状态异常、无法操作或控制台无响应，概率估计 ~60%
② 虚拟机-042 虚拟机内部蓝屏
   判断依据：用户指定了“Windows”系统，蓝屏（BSOD）是Windows虚拟机“宕机”常见的具体表现形式，概率估计 ~30%
③ 以上都不是（请补充症状描述）
请回复 ① ② 或 ③ 完成确认。</t>
        </is>
      </c>
    </row>
    <row r="490">
      <c r="A490" t="inlineStr">
        <is>
          <t>Q2026020500393</t>
        </is>
      </c>
      <c r="B490" t="inlineStr">
        <is>
          <t>HCI</t>
        </is>
      </c>
      <c r="C490" t="inlineStr">
        <is>
          <t>HCI6.10.0_R2</t>
        </is>
      </c>
      <c r="D490" t="inlineStr">
        <is>
          <t>HCI有一台windows系统自动重启，协助排查。</t>
        </is>
      </c>
      <c r="E490" t="inlineStr">
        <is>
          <t>虚拟机</t>
        </is>
      </c>
      <c r="F490" t="inlineStr">
        <is>
          <t>虚拟机开关机</t>
        </is>
      </c>
      <c r="G490" t="inlineStr">
        <is>
          <t>根据客户描述“HCI有一台windows系统自动重启”，结合HCI故障分类基准，初步分析如下：
① 虚拟机-033 虚拟机异常HA
   判断依据：虚拟机发生非人为操作的自动重启，首先怀疑是宿主机故障或平台高可用机制（HA）触发了虚拟机在其他主机上重启动，概率估计 ~50%
② 虚拟机-042 虚拟机内部蓝屏
   判断依据：客户明确指出是 Windows 系统，Windows 操作系统在遭遇内核崩溃（蓝屏）时，默认配置为自动重启，表现为系统无征兆自动重启，概率估计 ~40%
③ 以上都不是（请补充症状描述）
请回复 ① ② 或 ③ 完成确认。</t>
        </is>
      </c>
    </row>
    <row r="491">
      <c r="A491" t="inlineStr">
        <is>
          <t>Q2026020500253</t>
        </is>
      </c>
      <c r="B491" t="inlineStr">
        <is>
          <t>HCI</t>
        </is>
      </c>
      <c r="C491" t="inlineStr"/>
      <c r="D491" t="inlineStr">
        <is>
          <t>Rocky9.4的虚拟机是从VMware迁移过来的 目前无法启动</t>
        </is>
      </c>
      <c r="E491" t="inlineStr">
        <is>
          <t>虚拟机</t>
        </is>
      </c>
      <c r="F491" t="inlineStr">
        <is>
          <t>虚拟机开关机</t>
        </is>
      </c>
      <c r="G491" t="inlineStr">
        <is>
          <t>根据客户描述“虚拟机是从VMware迁移过来的，目前无法启动”，核心故障表现为虚拟机无法开机，迁移背景是潜在原因（如驱动不兼容、引导模式错误等），并非迁移任务本身的失败。
您的问题可能属于以下故障之一，请确认：
① 虚拟机-003 虚拟机开机失败
   判断依据：客户明确描述虚拟机"目前无法启动"，这是最直接的功能性故障现象，概率估计 ~90%
② 虚拟机-021 虚拟机vmware纳管迁移失败
   判断依据：虚拟机来源为VMware迁移，若开机失败是由于迁移转换过程本身不完整或配置丢失导致，可归为此类，概率估计 ~10%
③ 以上都不是（请补充症状描述）
请回复 ① ② 或 ③ 完成确认。</t>
        </is>
      </c>
    </row>
    <row r="492">
      <c r="A492" t="inlineStr">
        <is>
          <t>Q2026020401957</t>
        </is>
      </c>
      <c r="B492" t="inlineStr">
        <is>
          <t>HCI</t>
        </is>
      </c>
      <c r="C492" t="inlineStr"/>
      <c r="D492" t="inlineStr">
        <is>
          <t>虚拟机无法启动</t>
        </is>
      </c>
      <c r="E492" t="inlineStr">
        <is>
          <t>虚拟机</t>
        </is>
      </c>
      <c r="F492" t="inlineStr">
        <is>
          <t>虚拟机开关机</t>
        </is>
      </c>
      <c r="G492" t="inlineStr">
        <is>
          <t>根据客户描述“虚拟机无法启动”，这直接对应虚拟机生命周期管理中的开机操作故障。
请您确认以下分类：
① 虚拟机-003 虚拟机开机失败
   判断依据：客户描述直接陈述“虚拟机无法启动”，对应虚拟机开机任务失败场景，概率估计 ~95%
③ 以上都不是（请补充症状描述）
请回复 ① 或 ③ 完成确认。</t>
        </is>
      </c>
    </row>
    <row r="493">
      <c r="A493" t="inlineStr">
        <is>
          <t>Q2026020401692</t>
        </is>
      </c>
      <c r="B493" t="inlineStr">
        <is>
          <t>HCI</t>
        </is>
      </c>
      <c r="C493" t="inlineStr">
        <is>
          <t>HCI6.9.1</t>
        </is>
      </c>
      <c r="D493" t="inlineStr">
        <is>
          <t>HCI ,虚拟机多次出现内部关机，不是因为资源不足导致的，windows日志 显示意外关机 和异常重启的告警，需要协助排查下原因。</t>
        </is>
      </c>
      <c r="E493" t="inlineStr">
        <is>
          <t>虚拟机</t>
        </is>
      </c>
      <c r="F493" t="inlineStr">
        <is>
          <t>虚拟机开关机</t>
        </is>
      </c>
      <c r="G493" t="inlineStr">
        <is>
          <t>根据客户描述“虚拟机多次出现内部关机”、“Windows日志显示意外关机和异常重启”，且排除了资源不足，这通常指向系统崩溃或高可用机制触发。
根据 [Windows事件日志显示意外关机/异常重启] 且 [非资源不足导致]，您的问题可能属于以下故障之一，请确认：
① 虚拟机-033 虚拟机异常HA
   判断依据：客户描述中出现“异常重启”告警，且Windows日志记录“意外关机”。在非资源不足的情况下，这通常意味着虚拟机因底层心跳丢失或进程崩溃触发了HA机制（高可用重启），导致业务中断，概率估计 ~60%
② 虚拟机-042 虚拟机内部蓝屏
   判断依据：Windows系统日志中的“意外关机”（Event ID 41）通常是操作系统内核崩溃（BSOD）后的重启表现，属于虚拟机内部系统故障，概率估计 ~35%
③ 以上都不是（请补充症状描述）
请回复 ① ② 或 ③ 完成确认。</t>
        </is>
      </c>
    </row>
    <row r="494">
      <c r="A494" t="inlineStr">
        <is>
          <t>Q2026020400035</t>
        </is>
      </c>
      <c r="B494" t="inlineStr">
        <is>
          <t>HCI</t>
        </is>
      </c>
      <c r="C494" t="inlineStr"/>
      <c r="D494" t="inlineStr">
        <is>
          <t>虚拟机（win10模板）启动失败, 没有主机能够启动这台虚拟机，具体原因如下：
主机（192.169.10.2）：此主机仅允许运行GPU虚拟机。若需要放开限制，请到主机详情页面左下角，修改虚拟机运行限制。</t>
        </is>
      </c>
      <c r="E494" t="inlineStr">
        <is>
          <t>虚拟机</t>
        </is>
      </c>
      <c r="F494" t="inlineStr">
        <is>
          <t>虚拟机开关机</t>
        </is>
      </c>
      <c r="G494" t="inlineStr">
        <is>
          <t>根据客户描述中明确的“虚拟机启动失败”现象及具体的错误提示信息，判定为虚拟机开机受阻。
根据 [故障现象与报错匹配]，您的问题可能属于以下故障之一，请确认：
① 虚拟机-003 虚拟机开机失败
   判断依据：客户描述“虚拟机（win10模板）启动失败”，且日志明确指出原因为主机运行限制“此主机仅允许运行GPU虚拟机”，导致开机流程被拦截，概率估计 ~99%
③ 以上都不是（请补充症状描述）
请回复 ① 或 ③ 完成确认。</t>
        </is>
      </c>
    </row>
    <row r="495">
      <c r="A495" t="inlineStr">
        <is>
          <t>Q2026020301858</t>
        </is>
      </c>
      <c r="B495" t="inlineStr">
        <is>
          <t>HCI</t>
        </is>
      </c>
      <c r="C495" t="inlineStr"/>
      <c r="D495" t="inlineStr">
        <is>
          <t>有台虚拟机关不掉</t>
        </is>
      </c>
      <c r="E495" t="inlineStr">
        <is>
          <t>虚拟机</t>
        </is>
      </c>
      <c r="F495" t="inlineStr">
        <is>
          <t>虚拟机开关机</t>
        </is>
      </c>
      <c r="G495" t="inlineStr">
        <is>
          <t>根据用户描述“有台虚拟机关不掉”，直接对应虚拟机关机操作异常。
根据 [用户明确描述虚拟机无法执行关机操作]，您的问题可能属于以下故障之一，请确认：
① 虚拟机-004 虚拟机关机失败
   判断依据：用户描述“有台虚拟机关不掉”，直接对应虚拟机关机操作失败的场景，概率估计 ~99%
③ 以上都不是（请补充症状描述）
请回复 ① 或 ③ 完成确认。</t>
        </is>
      </c>
    </row>
    <row r="496">
      <c r="A496" t="inlineStr">
        <is>
          <t>Q2026020301691</t>
        </is>
      </c>
      <c r="B496" t="inlineStr">
        <is>
          <t>HCI</t>
        </is>
      </c>
      <c r="C496" t="inlineStr">
        <is>
          <t>6.8.0R1</t>
        </is>
      </c>
      <c r="D496" t="inlineStr">
        <is>
          <t>HCI虚拟机开机提示可配置内存不足，实际主机内存足够</t>
        </is>
      </c>
      <c r="E496" t="inlineStr">
        <is>
          <t>虚拟机</t>
        </is>
      </c>
      <c r="F496" t="inlineStr">
        <is>
          <t>虚拟机开关机</t>
        </is>
      </c>
      <c r="G496" t="inlineStr">
        <is>
          <t>根据客户描述的故障现象“虚拟机开机提示可配置内存不足”，您的问题可能属于以下故障，请确认：
① 虚拟机-003 虚拟机开机失败
   判断依据：客户明确描述了“虚拟机开机”这一操作，且系统返回“可配置内存不足”的错误提示，直接对应虚拟机启动失败场景。虽然物理内存充足，但“可配置内存”涉及HA预留、内存复用超分限制等因素，属于开机流程中的资源校验失败，概率估计 ~95%
③ 以上都不是（请补充症状描述）
请回复 ① 或 ③ 完成确认。</t>
        </is>
      </c>
    </row>
    <row r="497">
      <c r="A497" t="inlineStr">
        <is>
          <t>Q2026020301545</t>
        </is>
      </c>
      <c r="B497" t="inlineStr">
        <is>
          <t>HCI</t>
        </is>
      </c>
      <c r="C497" t="inlineStr">
        <is>
          <t>6.11.1_R1</t>
        </is>
      </c>
      <c r="D497" t="inlineStr">
        <is>
          <t>纳管VMware迁移虚拟机完成，开机卡住，教务系统无法使用</t>
        </is>
      </c>
      <c r="E497" t="inlineStr">
        <is>
          <t>虚拟机</t>
        </is>
      </c>
      <c r="F497" t="inlineStr">
        <is>
          <t>虚拟机开关机</t>
        </is>
      </c>
      <c r="G497" t="inlineStr">
        <is>
          <t>根据您提供的“纳管VMware迁移虚拟机完成，开机卡住”场景，故障定位如下：
① 虚拟机-021 虚拟机vmware纳管迁移失败
   判断依据：客户明确提及“纳管VMware迁移”操作，虽然界面提示迁移完成，但“开机卡住”属于迁移后虚拟机兼容性或配置异常导致的业务不可用，符合迁移失败范畴，概率估计 ~60%
② 虚拟机-003 虚拟机开机失败
   判断依据：核心症状明确为“开机卡住”，直接对应虚拟机开机流程异常（可能涉及驱动注入、引导配置等问题），概率估计 ~35%
③ 以上都不是（请补充症状描述）
请回复 ① ② 或 ③ 完成确认。</t>
        </is>
      </c>
    </row>
    <row r="498">
      <c r="A498" t="inlineStr">
        <is>
          <t>Q2026020301320</t>
        </is>
      </c>
      <c r="B498" t="inlineStr">
        <is>
          <t>HCI</t>
        </is>
      </c>
      <c r="C498" t="inlineStr">
        <is>
          <t>6.11.1_R1</t>
        </is>
      </c>
      <c r="D498" t="inlineStr">
        <is>
          <t>SCMT迁移华三的虚拟机，反馈迁移完成后再重启虚拟机会进入紧急模式，需要协助处理</t>
        </is>
      </c>
      <c r="E498" t="inlineStr">
        <is>
          <t>虚拟机</t>
        </is>
      </c>
      <c r="F498" t="inlineStr">
        <is>
          <t>虚拟机开关机</t>
        </is>
      </c>
      <c r="G498" t="inlineStr">
        <is>
          <t>根据 [故障现象与操作背景]，您的问题可能属于以下故障之一，请确认：
① 虚拟机-014 虚拟机scmt迁移失败
   判断依据：客户描述“SCMT迁移华三虚拟机”后出现异常。虚拟机迁移后进入紧急模式通常是SCMT迁移工具在系统适配（如驱动注入、fstab挂载配置）环节出现问题的典型表现，属于迁移结果未达预期的范畴，概率估计 ~60%
② 虚拟机-044 虚拟机内部空间或文件系统异常
   判断依据：故障现象为“进入紧急模式”，该症状在Linux系统中通常由文件系统损坏、fstab配置错误或磁盘挂载失败引起，属于虚拟机内部操作系统层面的文件系统异常，概率估计 ~35%
③ 以上都不是（请补充症状描述）
请回复 ① ② 或 ③ 完成确认。</t>
        </is>
      </c>
    </row>
    <row r="499">
      <c r="A499" t="inlineStr">
        <is>
          <t>Q2026020301110</t>
        </is>
      </c>
      <c r="B499" t="inlineStr">
        <is>
          <t>HCI</t>
        </is>
      </c>
      <c r="C499" t="inlineStr"/>
      <c r="D499" t="inlineStr">
        <is>
          <t>HCI 硬盘任务同步，任务也无法取消，虚拟机无法启动，影响到核心业务</t>
        </is>
      </c>
      <c r="E499" t="inlineStr">
        <is>
          <t>虚拟机</t>
        </is>
      </c>
      <c r="F499" t="inlineStr">
        <is>
          <t>虚拟机开关机</t>
        </is>
      </c>
      <c r="G499" t="inlineStr">
        <is>
          <t>根据客户描述中“硬盘任务同步”、“任务无法取消”以及由此引发的“虚拟机无法启动”现象，核心故障点锁定在存储层数据任务阻塞。您的问题可能属于以下故障之一，请确认：
① 存储-008 数据同步失败或卡住
   判断依据：客户明确描述“硬盘任务同步”且“任务也无法取消”，直接对应数据同步任务状态异常，概率估计 ~60%
② 存储-011 数据重建失败或卡住
   判断依据：“硬盘任务同步”常发生于磁盘替换或故障后的重建阶段，重建任务卡死会占用底层资源导致虚拟机无法启动，概率估计 ~30%
③ 以上都不是（请补充症状描述）
请回复 ① ② 或 ③ 完成确认。</t>
        </is>
      </c>
    </row>
    <row r="500">
      <c r="A500" t="inlineStr">
        <is>
          <t>Q2026020301094</t>
        </is>
      </c>
      <c r="B500" t="inlineStr">
        <is>
          <t>HCI</t>
        </is>
      </c>
      <c r="C500" t="inlineStr">
        <is>
          <t>HCI6.10.0_R2</t>
        </is>
      </c>
      <c r="D500" t="inlineStr">
        <is>
          <t>HCI ，二合一，启动虚拟机， 启动失败，内部异常，请稍后重试，单个虚拟机，</t>
        </is>
      </c>
      <c r="E500" t="inlineStr">
        <is>
          <t>虚拟机</t>
        </is>
      </c>
      <c r="F500" t="inlineStr">
        <is>
          <t>虚拟机开关机</t>
        </is>
      </c>
      <c r="G500" t="inlineStr">
        <is>
          <t>根据您的描述“启动虚拟机，启动失败，内部异常”，故障现象明确指向虚拟机的开机操作受阻。您的问题可能属于以下故障分类，请确认：
① 虚拟机-003 虚拟机开机失败
   判断依据：客户描述明确执行了“启动虚拟机”操作，结果为“启动失败”，报错“内部异常，请稍后重试”为典型任务执行中断提示，概率估计 ~99%
③ 以上都不是（请补充症状描述）
请回复 ① 或 ③ 完成确认。</t>
        </is>
      </c>
    </row>
    <row r="501">
      <c r="A501" t="inlineStr">
        <is>
          <t>Q2026020300669</t>
        </is>
      </c>
      <c r="B501" t="inlineStr">
        <is>
          <t>HCI</t>
        </is>
      </c>
      <c r="C501" t="inlineStr">
        <is>
          <t>6.11.1R1</t>
        </is>
      </c>
      <c r="D501" t="inlineStr">
        <is>
          <t>Windows虚拟机启动卡主，重启后又正常，协助排查</t>
        </is>
      </c>
      <c r="E501" t="inlineStr">
        <is>
          <t>虚拟机</t>
        </is>
      </c>
      <c r="F501" t="inlineStr">
        <is>
          <t>虚拟机开关机</t>
        </is>
      </c>
      <c r="G501" t="inlineStr">
        <is>
          <t>根据客户描述“Windows虚拟机启动卡主，重启后又正常”，核心症状为虚拟机在启动过程中出现无响应（卡死），符合虚拟机运行状态异常的特征。
您的问题可能属于以下故障之一，请确认：
① **虚拟机-039 虚拟机卡死无响应**
   判断依据：客户明确描述“启动卡主”，即虚拟机处于停止响应的状态，这是典型的卡死现象，概率估计 ~70%
② **虚拟机-003 虚拟机开机失败**
   判断依据：若启动卡住时间过长导致任务超时或被系统判定为异常终止，可能被记录为开机失败，概率估计 ~25%
③ 以上都不是（请补充症状描述）
请回复 ① ② 或 ③ 完成确认。</t>
        </is>
      </c>
    </row>
    <row r="502">
      <c r="A502" t="inlineStr">
        <is>
          <t>Q2026020300607</t>
        </is>
      </c>
      <c r="B502" t="inlineStr">
        <is>
          <t>HCI</t>
        </is>
      </c>
      <c r="C502" t="inlineStr">
        <is>
          <t>定制版本</t>
        </is>
      </c>
      <c r="D502" t="inlineStr">
        <is>
          <t>SM HCI上有个虚拟机启动异常协助恢复，有业务影响，非核心</t>
        </is>
      </c>
      <c r="E502" t="inlineStr">
        <is>
          <t>虚拟机</t>
        </is>
      </c>
      <c r="F502" t="inlineStr">
        <is>
          <t>虚拟机开关机</t>
        </is>
      </c>
      <c r="G502" t="inlineStr">
        <is>
          <t>根据客户描述关键词“虚拟机”及“启动异常”，判断为虚拟机生命周期管理类问题。
根据 [客户描述：虚拟机启动异常]，您的问题可能属于以下故障之一，请确认：
① 虚拟机-003 虚拟机开机失败
   判断依据：客户明确描述虚拟机“启动异常”，对应虚拟机生命周期中的开机环节故障，概率估计 ~95%
③ 以上都不是（请补充症状描述）
请回复 ① 或 ③ 完成确认。</t>
        </is>
      </c>
    </row>
    <row r="503">
      <c r="A503" t="inlineStr">
        <is>
          <t>Q2026020300593</t>
        </is>
      </c>
      <c r="B503" t="inlineStr">
        <is>
          <t>HCI</t>
        </is>
      </c>
      <c r="C503" t="inlineStr">
        <is>
          <t>5.8.6</t>
        </is>
      </c>
      <c r="D503" t="inlineStr">
        <is>
          <t>业务虚拟机开机很慢</t>
        </is>
      </c>
      <c r="E503" t="inlineStr">
        <is>
          <t>虚拟机</t>
        </is>
      </c>
      <c r="F503" t="inlineStr">
        <is>
          <t>虚拟机开关机</t>
        </is>
      </c>
      <c r="G503" t="inlineStr">
        <is>
          <t>根据客户描述“业务虚拟机开机很慢”，该问题主要指向虚拟机运行性能或存储IO性能问题。虽然“开机”是一个特定动作，但在分类体系中，“开机慢”通常归类于整体性能卡慢或特定资源瓶颈。
请确认以下故障分类：
① 虚拟机-036 虚拟机整体卡慢
   判断依据：虚拟机开机过程属于整体运行生命周期的一部分，开机耗时过长是“整体卡慢”的典型表现之一，概率估计 ~60%
② 虚拟机-038 虚拟机IO读写慢
   判断依据：虚拟机开机过程本质上是大量读取系统磁盘数据的过程，若底层存储IO延时高或吞吐量不足，直接导致开机速度变慢，概率估计 ~35%
③ 以上都不是（请补充症状描述）
请回复 ① ② 或 ③ 完成确认。</t>
        </is>
      </c>
    </row>
    <row r="504">
      <c r="A504" t="inlineStr">
        <is>
          <t>Q2026020300262</t>
        </is>
      </c>
      <c r="B504" t="inlineStr">
        <is>
          <t>HCI</t>
        </is>
      </c>
      <c r="C504" t="inlineStr">
        <is>
          <t>HCI6.10.0_R2</t>
        </is>
      </c>
      <c r="D504" t="inlineStr">
        <is>
          <t>超融合centos7.9版本虚拟机异常重启，已安装性能优化工具，平台是全新部署的，需要协助进一步看看</t>
        </is>
      </c>
      <c r="E504" t="inlineStr">
        <is>
          <t>虚拟机</t>
        </is>
      </c>
      <c r="F504" t="inlineStr">
        <is>
          <t>虚拟机开关机</t>
        </is>
      </c>
      <c r="G504" t="inlineStr"/>
    </row>
    <row r="505">
      <c r="A505" t="inlineStr">
        <is>
          <t>Q2026020300219</t>
        </is>
      </c>
      <c r="B505" t="inlineStr">
        <is>
          <t>HCI</t>
        </is>
      </c>
      <c r="C505" t="inlineStr">
        <is>
          <t>6.11.1</t>
        </is>
      </c>
      <c r="D505" t="inlineStr">
        <is>
          <t>HCI 虚拟机起不来，报错 该主机内存不够，尝试腾出一台主机还是无法开起来，这个是核心业务 数据中台，需要协助处理</t>
        </is>
      </c>
      <c r="E505" t="inlineStr">
        <is>
          <t>虚拟机</t>
        </is>
      </c>
      <c r="F505" t="inlineStr">
        <is>
          <t>虚拟机开关机</t>
        </is>
      </c>
      <c r="G505" t="inlineStr">
        <is>
          <t>根据 [客户描述“虚拟机起不来”及报错“该主机内存不够”]，您的问题可能属于以下故障之一，请确认：
① 虚拟机-003 虚拟机开机失败
   判断依据：客户明确描述“虚拟机起不来”且报错“该主机内存不够”，符合虚拟机开机失败特征，概率估计 ~95%
③ 以上都不是（请补充症状描述）
请回复 ① 或 ③ 完成确认。</t>
        </is>
      </c>
    </row>
    <row r="506">
      <c r="A506" t="inlineStr">
        <is>
          <t>Q2026020300213</t>
        </is>
      </c>
      <c r="B506" t="inlineStr">
        <is>
          <t>HCI</t>
        </is>
      </c>
      <c r="C506" t="inlineStr">
        <is>
          <t>HCI6.9.1</t>
        </is>
      </c>
      <c r="D506" t="inlineStr">
        <is>
          <t>一台虚拟机无法开机，提示准备开机环境失败，需要协助处理</t>
        </is>
      </c>
      <c r="E506" t="inlineStr">
        <is>
          <t>虚拟机</t>
        </is>
      </c>
      <c r="F506" t="inlineStr">
        <is>
          <t>虚拟机开关机</t>
        </is>
      </c>
      <c r="G506" t="inlineStr">
        <is>
          <t>根据用户描述“一台虚拟机无法开机，提示准备开机环境失败”，该症状直接对应虚拟机生命周期管理中的启动环节异常。
您的问题可能属于以下故障之一，请确认：
① **虚拟机-003 虚拟机开机失败**
   判断依据：用户明确描述“虚拟机无法开机”，且报错信息“准备开机环境失败”是典型的虚拟机启动流程受阻提示，概率估计 ~95%
③ 以上都不是（请补充症状描述）
请回复 ① 或 ③ 完成确认。</t>
        </is>
      </c>
    </row>
    <row r="507">
      <c r="A507" t="inlineStr">
        <is>
          <t>Q2026020300118</t>
        </is>
      </c>
      <c r="B507" t="inlineStr">
        <is>
          <t>HCI</t>
        </is>
      </c>
      <c r="C507" t="inlineStr">
        <is>
          <t>6.8.0_R1</t>
        </is>
      </c>
      <c r="D507" t="inlineStr">
        <is>
          <t>linux虚拟机重启后找不到引导项，一直卡在硬盘启动的界面，影响核心业务</t>
        </is>
      </c>
      <c r="E507" t="inlineStr">
        <is>
          <t>虚拟机</t>
        </is>
      </c>
      <c r="F507" t="inlineStr">
        <is>
          <t>虚拟机开关机</t>
        </is>
      </c>
      <c r="G507" t="inlineStr">
        <is>
          <t>根据您提供的故障现象「linux虚拟机重启后找不到引导项，一直卡在硬盘启动的界面」，结合深信服HCI平台机制分析：
故障特征表现为虚拟机启动过程中无法读取操作系统引导文件，这通常属于虚拟机启动流程中的异常。虽然发生在重启操作之后，但核心故障点在于虚拟机无法正常进入操作系统，符合“开机失败”的广义定义（即未能成功引导进入业务系统）。
请确认以下分类：
① 虚拟机-003 虚拟机开机失败
   判断依据：虚拟机停留在硬盘启动界面且无法找到引导项，属于典型的启动阶段失败，可能涉及启动顺序配置错误、系统盘文件系统损坏或引导扇区丢失，概率估计 ~60%
② 虚拟机-005 虚拟机重启失败
   判断依据：故障触发动作明确为“重启后”，若平台重启任务本身执行异常或状态机卡死，也可归为此类，概率估计 ~30%
③ 以上都不是（请补充症状描述）
请回复 ① ② 或 ③ 完成确认。</t>
        </is>
      </c>
    </row>
    <row r="508">
      <c r="A508" t="inlineStr">
        <is>
          <t>Q2026020300055</t>
        </is>
      </c>
      <c r="B508" t="inlineStr">
        <is>
          <t>HCI</t>
        </is>
      </c>
      <c r="C508" t="inlineStr">
        <is>
          <t>6.10.0R2</t>
        </is>
      </c>
      <c r="D508" t="inlineStr">
        <is>
          <t>一台server虚拟机异常进不去系统需要协助处理</t>
        </is>
      </c>
      <c r="E508" t="inlineStr">
        <is>
          <t>虚拟机</t>
        </is>
      </c>
      <c r="F508" t="inlineStr">
        <is>
          <t>虚拟机开关机</t>
        </is>
      </c>
      <c r="G508" t="inlineStr">
        <is>
          <t>根据客户描述“一台server虚拟机异常进不去系统”，该现象通常指向虚拟机运行状态异常或操作系统层面故障，您的问题可能属于以下故障之一，请确认：
① 虚拟机-039 虚拟机卡死无响应
   判断依据：客户描述“异常进不去系统”，最常见的场景是虚拟机处于运行状态但内部操作系统卡死、僵死，导致无法进入系统或控制台无响应，概率估计 ~60%
② 虚拟机-003 虚拟机开机失败
   判断依据：部分客户会将虚拟机无法正常启动（停留在黑屏或BIOS阶段）的现象描述为“进不去系统”，概率估计 ~30%
③ 以上都不是（请补充症状描述）
请回复 ① ② 或 ③ 完成确认。</t>
        </is>
      </c>
    </row>
    <row r="509">
      <c r="A509" t="inlineStr">
        <is>
          <t>Q2026020300029</t>
        </is>
      </c>
      <c r="B509" t="inlineStr">
        <is>
          <t>HCI</t>
        </is>
      </c>
      <c r="C509" t="inlineStr">
        <is>
          <t>6.8.0</t>
        </is>
      </c>
      <c r="D509" t="inlineStr">
        <is>
          <t>一台业务虚拟机自动关机了，算是服务器，平台告警提示启动没有足够的内存，影响办公业务，急用，需尽快恢复</t>
        </is>
      </c>
      <c r="E509" t="inlineStr">
        <is>
          <t>虚拟机</t>
        </is>
      </c>
      <c r="F509" t="inlineStr">
        <is>
          <t>虚拟机开关机</t>
        </is>
      </c>
      <c r="G509" t="inlineStr">
        <is>
          <t>根据您的描述，虚拟机出现自动关机，且平台明确告警“启动没有足够的内存”，这直接指向了虚拟机启动过程中的资源分配失败环节。
根据 [告警提示“启动没有足够的内存”及“自动关机”现象]，您的问题可能属于以下故障之一，请确认：
① 虚拟机-003 虚拟机开机失败
   判断依据：平台告警明确提示“启动没有足够的内存”，表明虚拟机在尝试启动（可能是自动重启或手动干预）时因宿主机内存资源不足而失败，概率估计 ~95%
③ 以上都不是（请补充症状描述）
请回复 ① 或 ③ 完成确认。</t>
        </is>
      </c>
    </row>
    <row r="510">
      <c r="A510" t="inlineStr">
        <is>
          <t>Q2026020201719</t>
        </is>
      </c>
      <c r="B510" t="inlineStr">
        <is>
          <t>HCI</t>
        </is>
      </c>
      <c r="C510" t="inlineStr">
        <is>
          <t>HCI6.9.1</t>
        </is>
      </c>
      <c r="D510" t="inlineStr">
        <is>
          <t>虚拟机开机失败协助排查，有业务影响，非核心</t>
        </is>
      </c>
      <c r="E510" t="inlineStr">
        <is>
          <t>虚拟机</t>
        </is>
      </c>
      <c r="F510" t="inlineStr">
        <is>
          <t>虚拟机开关机</t>
        </is>
      </c>
      <c r="G510" t="inlineStr">
        <is>
          <t>根据用户描述中明确的“虚拟机开机失败”关键词，该问题高度聚焦于虚拟机生命周期管理中的启动环节，请确认：
① 虚拟机-003 虚拟机开机失败
   判断依据：客户描述直接提及“虚拟机开机失败”，精准匹配该分类定义。概率估计 ~99%
③ 以上都不是（请补充症状描述）
请回复 ① 或 ③ 完成确认。</t>
        </is>
      </c>
    </row>
    <row r="511">
      <c r="A511" t="inlineStr">
        <is>
          <t>Q2026020200596</t>
        </is>
      </c>
      <c r="B511" t="inlineStr">
        <is>
          <t>HCI</t>
        </is>
      </c>
      <c r="C511" t="inlineStr">
        <is>
          <t>6.10.0R2</t>
        </is>
      </c>
      <c r="D511" t="inlineStr">
        <is>
          <t>单台虚拟机卡在开机界面</t>
        </is>
      </c>
      <c r="E511" t="inlineStr">
        <is>
          <t>虚拟机</t>
        </is>
      </c>
      <c r="F511" t="inlineStr">
        <is>
          <t>虚拟机开关机</t>
        </is>
      </c>
      <c r="G511" t="inlineStr">
        <is>
          <t>根据客户描述“单台虚拟机卡在开机界面”，该症状指向虚拟机运行状态异常或启动流程受阻。您的问题可能属于以下故障之一，请确认：
① 虚拟机-039 虚拟机卡死无响应
   判断依据：客户描述“卡在开机界面”，通常指虚拟机进程已启动（运行状态）但操作系统界面无响应或长时间无进度，符合“卡死”特征，概率估计 ~70%
② 虚拟机-003 虚拟机开机失败
   判断依据：若虚拟机一直处于“正在开机”任务状态未结束，或启动任务报错，也可能被描述为卡在界面，概率估计 ~25%
③ 以上都不是（请补充症状描述）
请回复 ① ② 或 ③ 完成确认。</t>
        </is>
      </c>
    </row>
    <row r="512">
      <c r="A512" t="inlineStr">
        <is>
          <t>Q2026020200519</t>
        </is>
      </c>
      <c r="B512" t="inlineStr">
        <is>
          <t>HCI</t>
        </is>
      </c>
      <c r="C512" t="inlineStr">
        <is>
          <t>5.3R1</t>
        </is>
      </c>
      <c r="D512" t="inlineStr">
        <is>
          <t>域控虚拟机自动重启，需要协助处理</t>
        </is>
      </c>
      <c r="E512" t="inlineStr">
        <is>
          <t>虚拟机</t>
        </is>
      </c>
      <c r="F512" t="inlineStr">
        <is>
          <t>虚拟机开关机</t>
        </is>
      </c>
      <c r="G512" t="inlineStr">
        <is>
          <t>根据您的描述“域控虚拟机自动重启”，这通常涉及虚拟机高可用（HA）被触发或操作系统内部异常崩溃。请确认具体的故障场景：
① 虚拟机-033 虚拟机异常HA
   判断依据：虚拟机非人为操作自动重启，常见于平台检测到宿主机故障或心跳丢失后触发的 HA 机制，概率估计 ~60%
② 虚拟机-042 虚拟机内部蓝屏
   判断依据：域控服务器若遭遇系统异常（如蓝屏），Windows 默认设置会自动重启，表现为虚拟机反复重启或意外重启，概率估计 ~30%
③ 以上都不是（请补充症状描述）
请回复 ① ② 或 ③ 完成确认。</t>
        </is>
      </c>
    </row>
    <row r="513">
      <c r="A513" t="inlineStr">
        <is>
          <t>Q2026020200201</t>
        </is>
      </c>
      <c r="B513" t="inlineStr">
        <is>
          <t>HCI</t>
        </is>
      </c>
      <c r="C513" t="inlineStr">
        <is>
          <t>ARM6.2.0</t>
        </is>
      </c>
      <c r="D513" t="inlineStr">
        <is>
          <t>虚拟机开机报错</t>
        </is>
      </c>
      <c r="E513" t="inlineStr">
        <is>
          <t>虚拟机</t>
        </is>
      </c>
      <c r="F513" t="inlineStr">
        <is>
          <t>虚拟机开关机</t>
        </is>
      </c>
      <c r="G513" t="inlineStr">
        <is>
          <t>根据您描述的“虚拟机开机报错”，问题核心明确指向虚拟机生命周期管理中的启动环节：
① 虚拟机-003 虚拟机开机失败
   判断依据：客户描述“虚拟机开机报错”，直接对应虚拟机启动失败场景，概率估计 ~95%
③ 以上都不是（请补充症状描述）
请回复 ① 或 ③ 完成确认。</t>
        </is>
      </c>
    </row>
    <row r="514">
      <c r="A514" t="inlineStr">
        <is>
          <t>Q2026020100201</t>
        </is>
      </c>
      <c r="B514" t="inlineStr">
        <is>
          <t>HCI</t>
        </is>
      </c>
      <c r="C514" t="inlineStr"/>
      <c r="D514" t="inlineStr">
        <is>
          <t>机房下电以后，虚拟机开机提示正在启动存储</t>
        </is>
      </c>
      <c r="E514" t="inlineStr">
        <is>
          <t>虚拟机</t>
        </is>
      </c>
      <c r="F514" t="inlineStr">
        <is>
          <t>虚拟机开关机</t>
        </is>
      </c>
      <c r="G514" t="inlineStr">
        <is>
          <t>根据 [故障现象结合触发场景分析]，您的问题可能属于以下故障之一，请确认：
① 虚拟机-003 虚拟机开机失败
   判断依据：用户主动执行“虚拟机开机”操作，界面提示卡在“正在启动存储”阶段，属于开机流程未完成。概率估计 ~60%
② 存储-019 虚拟存储状态异常（离线、服务异常、服务未启动等）
   判断依据：故障发生于“机房下电”之后，强关联断电场景；虚拟机卡在“正在启动存储”通常意味着后端存储服务未就绪或处于恢复/离线状态。概率估计 ~35%
③ 以上都不是（请补充症状描述）
请回复 ① ② 或 ③ 完成确认。</t>
        </is>
      </c>
    </row>
    <row r="515">
      <c r="A515" t="inlineStr">
        <is>
          <t>Q2026020100090</t>
        </is>
      </c>
      <c r="B515" t="inlineStr">
        <is>
          <t>HCI</t>
        </is>
      </c>
      <c r="C515" t="inlineStr">
        <is>
          <t>6.11.1</t>
        </is>
      </c>
      <c r="D515" t="inlineStr">
        <is>
          <t>【服务升级】：服务商通过数字化服务平台发起服务升级，请尽快联系服务商处理！&lt;br&gt;【工单描述】：1.amd主机导入scp虚拟机，开机提示显卡没有初始化
2.更换显卡依旧，更换启动方式依旧，更换内存cpu，依旧
3.社区帖子内容反馈修改grub.cfg内容，从一开始的失败变成uefi</t>
        </is>
      </c>
      <c r="E515" t="inlineStr">
        <is>
          <t>虚拟机</t>
        </is>
      </c>
      <c r="F515" t="inlineStr">
        <is>
          <t>虚拟机开关机</t>
        </is>
      </c>
      <c r="G515" t="inlineStr">
        <is>
          <t>根据客户描述“amd主机导入scp虚拟机，开机提示显卡没有初始化”，虽然涉及显卡、引导方式（UEFI/grub）及硬件更换操作，但核心故障现象为**虚拟机无法正常完成开机启动流程**。
您的问题可能属于以下故障之一，请确认：
① **虚拟机-003 虚拟机开机失败**
   判断依据：客户明确描述“开机提示显卡没有初始化”，且更换硬件、修改启动方式均未能解决，属于典型的虚拟机启动任务失败场景，概率估计 ~90%
② **硬件-041 显卡不识别**
   判断依据：报错信息直接指向“显卡没有初始化”，且场景涉及AMD主机与显卡透传/兼容性问题，概率估计 ~10%
③ 以上都不是（请补充症状描述）
请回复 ① ② 或 ③ 完成确认。</t>
        </is>
      </c>
    </row>
    <row r="516">
      <c r="A516" t="inlineStr">
        <is>
          <t>Q2026013100312</t>
        </is>
      </c>
      <c r="B516" t="inlineStr">
        <is>
          <t>HCI</t>
        </is>
      </c>
      <c r="C516" t="inlineStr">
        <is>
          <t>6.10.0_R2</t>
        </is>
      </c>
      <c r="D516" t="inlineStr">
        <is>
          <t>有两个虚拟机重启后进不去系统，影响业务，非核心</t>
        </is>
      </c>
      <c r="E516" t="inlineStr">
        <is>
          <t>虚拟机</t>
        </is>
      </c>
      <c r="F516" t="inlineStr">
        <is>
          <t>虚拟机开关机</t>
        </is>
      </c>
      <c r="G516" t="inlineStr"/>
    </row>
    <row r="517">
      <c r="A517" t="inlineStr">
        <is>
          <t>Q2026013100300</t>
        </is>
      </c>
      <c r="B517" t="inlineStr">
        <is>
          <t>HCI</t>
        </is>
      </c>
      <c r="C517" t="inlineStr"/>
      <c r="D517" t="inlineStr">
        <is>
          <t>虚拟机安装数据库管理工具后系统进不去，协助确认 PE也进不去</t>
        </is>
      </c>
      <c r="E517" t="inlineStr">
        <is>
          <t>虚拟机</t>
        </is>
      </c>
      <c r="F517" t="inlineStr">
        <is>
          <t>虚拟机开关机</t>
        </is>
      </c>
      <c r="G517" t="inlineStr">
        <is>
          <t>根据客户描述“虚拟机安装数据库管理工具后系统进不去，协助确认 PE 也进不去”，这是典型的操作系统层面故障。安装软件后导致系统崩溃，通常由驱动冲突、系统文件损坏或引导配置错误引起。PE 无法进入可能涉及启动顺序设置或虚拟机配置问题。
您的问题可能属于以下故障之一，请确认：
① 虚拟机-042 虚拟机内部蓝屏
   判断依据：客户描述“安装数据库管理工具后系统进不去”，软件安装引发的驱动冲突或系统文件损坏是导致虚拟机内部蓝屏（BSOD）的最常见原因，概率估计 ~60%
② 虚拟机-041 虚拟机内部黑屏
   判断依据：若系统启动过程中卡死无显示、光标闪烁或引导丢失，且 PE 引导失败，呈现黑屏状态，则符合此特征，概率估计 ~35%
③ 以上都不是（请补充症状描述）
请回复 ① ② 或 ③ 完成确认。</t>
        </is>
      </c>
    </row>
    <row r="518">
      <c r="A518" t="inlineStr">
        <is>
          <t>Q2026013100154</t>
        </is>
      </c>
      <c r="B518" t="inlineStr">
        <is>
          <t>HCI</t>
        </is>
      </c>
      <c r="C518" t="inlineStr">
        <is>
          <t>6.11.1</t>
        </is>
      </c>
      <c r="D518" t="inlineStr">
        <is>
          <t>一台虚拟机无法进入系统，需要协助看下</t>
        </is>
      </c>
      <c r="E518" t="inlineStr">
        <is>
          <t>虚拟机</t>
        </is>
      </c>
      <c r="F518" t="inlineStr">
        <is>
          <t>虚拟机开关机</t>
        </is>
      </c>
      <c r="G518" t="inlineStr">
        <is>
          <t>根据用户描述“一台虚拟机无法进入系统”，该症状指向虚拟机运行状态或启动过程的异常。由于缺少具体错误代码、截图或日志，且“无法进入系统”在不同场景下可能指代“开机报错”或“开机后黑屏/卡顿”，存在多种可能性。
根据分析，您的问题可能属于以下故障之一，请确认：
① 虚拟机-003 虚拟机开机失败
   判断依据：用户描述“无法进入系统”，常见场景为虚拟机处于关机状态，用户尝试开机时任务失败或报错，导致无法进入操作系统，概率估计 ~50%
② 虚拟机-041 虚拟机内部黑屏
   判断依据：用户描述“无法进入系统”，可能场景为虚拟机处于运行状态，但控制台打开后黑屏，无操作系统界面显示，概率估计 ~40%
③ 以上都不是（请补充症状描述）
请回复 ① ② 或 ③ 完成确认。</t>
        </is>
      </c>
    </row>
    <row r="519">
      <c r="A519" t="inlineStr">
        <is>
          <t>Q2026013100151</t>
        </is>
      </c>
      <c r="B519" t="inlineStr">
        <is>
          <t>HCI</t>
        </is>
      </c>
      <c r="C519" t="inlineStr"/>
      <c r="D519" t="inlineStr">
        <is>
          <t>虚拟机异常重启查原因</t>
        </is>
      </c>
      <c r="E519" t="inlineStr">
        <is>
          <t>虚拟机</t>
        </is>
      </c>
      <c r="F519" t="inlineStr">
        <is>
          <t>虚拟机开关机</t>
        </is>
      </c>
      <c r="G519" t="inlineStr"/>
    </row>
    <row r="520">
      <c r="A520" t="inlineStr">
        <is>
          <t>Q2026013001965</t>
        </is>
      </c>
      <c r="B520" t="inlineStr">
        <is>
          <t>HCI</t>
        </is>
      </c>
      <c r="C520" t="inlineStr"/>
      <c r="D520" t="inlineStr">
        <is>
          <t>虚拟机重启了一下，外置存储挂不上</t>
        </is>
      </c>
      <c r="E520" t="inlineStr">
        <is>
          <t>虚拟机</t>
        </is>
      </c>
      <c r="F520" t="inlineStr">
        <is>
          <t>虚拟机开关机</t>
        </is>
      </c>
      <c r="G520" t="inlineStr"/>
    </row>
    <row r="521">
      <c r="A521" t="inlineStr">
        <is>
          <t>Q2026013001870</t>
        </is>
      </c>
      <c r="B521" t="inlineStr">
        <is>
          <t>HCI</t>
        </is>
      </c>
      <c r="C521" t="inlineStr">
        <is>
          <t>HCI6.11.1_R1</t>
        </is>
      </c>
      <c r="D521" t="inlineStr">
        <is>
          <t>scp虚拟机迁移到HCI之后起不来</t>
        </is>
      </c>
      <c r="E521" t="inlineStr">
        <is>
          <t>虚拟机</t>
        </is>
      </c>
      <c r="F521" t="inlineStr">
        <is>
          <t>虚拟机开关机</t>
        </is>
      </c>
      <c r="G521" t="inlineStr">
        <is>
          <t>根据客户描述“scp虚拟机迁移到HCI之后起不来”，您的问题可能属于以下故障之一，请确认：
① **虚拟机-003 虚拟机开机失败**
   判断依据：迁移动作完成后，虚拟机已在HCI平台存在但处于无法启动的状态，直接符合“开机失败”现象（常见于迁移后驱动不适配、启动模式不匹配或系统文件损坏），概率估计 ~85%
③ 以上都不是（请补充症状描述）
请回复 ① 或 ③ 完成确认。</t>
        </is>
      </c>
    </row>
    <row r="522">
      <c r="A522" t="inlineStr">
        <is>
          <t>Q2026013001461</t>
        </is>
      </c>
      <c r="B522" t="inlineStr">
        <is>
          <t>HCI</t>
        </is>
      </c>
      <c r="C522" t="inlineStr"/>
      <c r="D522" t="inlineStr">
        <is>
          <t>虚拟机关不掉 现在就是要数据盘挂载但是无法关闭虚拟机</t>
        </is>
      </c>
      <c r="E522" t="inlineStr">
        <is>
          <t>虚拟机</t>
        </is>
      </c>
      <c r="F522" t="inlineStr">
        <is>
          <t>虚拟机开关机</t>
        </is>
      </c>
      <c r="G522" t="inlineStr">
        <is>
          <t>根据您描述的“虚拟机关不掉”这一核心故障现象，主要特征为虚拟机关机任务执行失败，导致无法进行后续的数据盘挂载操作。请确认以下分类：
① 虚拟机-004 虚拟机关机失败
   判断依据：用户明确描述“虚拟机关不掉”、“无法关闭虚拟机”，直接对应虚拟机关机任务失败的场景，概率估计 ~95%
③ 以上都不是（请补充症状描述）
请回复 ① 或 ③ 完成确认。</t>
        </is>
      </c>
    </row>
    <row r="523">
      <c r="A523" t="inlineStr">
        <is>
          <t>Q2026013000817</t>
        </is>
      </c>
      <c r="B523" t="inlineStr">
        <is>
          <t>HCI</t>
        </is>
      </c>
      <c r="C523" t="inlineStr">
        <is>
          <t>6.10.0_R2</t>
        </is>
      </c>
      <c r="D523" t="inlineStr">
        <is>
          <t>主机离线了，有一个数据库虚拟机一直卡死的，一直正在启动</t>
        </is>
      </c>
      <c r="E523" t="inlineStr">
        <is>
          <t>虚拟机</t>
        </is>
      </c>
      <c r="F523" t="inlineStr">
        <is>
          <t>虚拟机开关机</t>
        </is>
      </c>
      <c r="G523" t="inlineStr">
        <is>
          <t>根据您提供的故障现象“主机离线”及“虚拟机卡死在正在启动状态”，这通常涉及底层平台稳定性与上层业务连续性的关联故障。故障定位优先从底层基础设施（主机）开始，因为主机离线往往是导致上层虚拟机状态异常（如开机卡死、HA失败）的根本原因。
根据 [主机离线是底层关键故障]，您的问题可能属于以下故障之一，请确认：
① **平台-005 主机离线或异常重启**
   判断依据：客户描述“主机离线了”，这是基础架构层面的核心故障，概率估计 ~70%
② **虚拟机-039 虚拟机卡死无响应**
   判断依据：客户描述“数据库虚拟机一直卡死的，一直正在启动”，属于上层业务异常，概率估计 ~25%
③ 以上都不是（请补充症状描述）
请回复 ① ② 或 ③ 完成确认。</t>
        </is>
      </c>
    </row>
    <row r="524">
      <c r="A524" t="inlineStr">
        <is>
          <t>Q2026013000409</t>
        </is>
      </c>
      <c r="B524" t="inlineStr">
        <is>
          <t>HCI</t>
        </is>
      </c>
      <c r="C524" t="inlineStr">
        <is>
          <t>6.10.0R2</t>
        </is>
      </c>
      <c r="D524" t="inlineStr">
        <is>
          <t>超融合有一台虚拟机夜里自动重启了，需要排查原因。</t>
        </is>
      </c>
      <c r="E524" t="inlineStr">
        <is>
          <t>虚拟机</t>
        </is>
      </c>
      <c r="F524" t="inlineStr">
        <is>
          <t>虚拟机开关机</t>
        </is>
      </c>
      <c r="G524" t="inlineStr">
        <is>
          <t>根据客户描述“超融合有一台虚拟机夜里自动重启了”，结合 HCI 平台机制，虚拟机非人为触发的自动重启通常由平台高可用机制（HA）或内部系统崩溃导致。
您的故障可能属于以下分类，请确认：
① 虚拟机-033 虚拟机异常HA
   判断依据：虚拟机“自动重启”是 HCI 平台 HA 机制的典型表现，可能因宿主机故障、网络心跳丢失或存储连接异常导致平台强制重启虚拟机以恢复业务。概率估计 ~60%
② 虚拟机-042 虚拟机内部蓝屏
   判断依据：若虚拟机内部操作系统遭遇严重错误（如驱动冲突、系统崩溃）触发了系统默认的自动重启策略，表现为虚拟机非预期的自动重启。概率估计 ~30%
③ 以上都不是（请补充症状描述）
请回复 ① ② 或 ③ 完成确认。</t>
        </is>
      </c>
    </row>
    <row r="525">
      <c r="A525" t="inlineStr">
        <is>
          <t>Q2026013000400</t>
        </is>
      </c>
      <c r="B525" t="inlineStr">
        <is>
          <t>HCI</t>
        </is>
      </c>
      <c r="C525" t="inlineStr"/>
      <c r="D525" t="inlineStr">
        <is>
          <t>超融合有个虚拟机异常，重启后也没有恢复</t>
        </is>
      </c>
      <c r="E525" t="inlineStr">
        <is>
          <t>虚拟机</t>
        </is>
      </c>
      <c r="F525" t="inlineStr">
        <is>
          <t>虚拟机开关机</t>
        </is>
      </c>
      <c r="G525" t="inlineStr">
        <is>
          <t>根据客户描述“虚拟机异常，重启后也没有恢复”，核心故障现象是虚拟机状态异常且重启操作未能解决问题，最可能的故障方向是虚拟机无法正常进入运行状态或处于假死状态。
根据 [虚拟机重启后仍未恢复]，您的问题可能属于以下故障之一，请确认：
① 虚拟机-003 虚拟机开机失败
   判断依据：客户提及“重启后没有恢复”，通常意味着虚拟机在启动过程中受阻，未能成功进入“运行”状态，符合开机失败特征。概率估计 ~60%
② 虚拟机-039 虚拟机卡死无响应
   判断依据：虚拟机表现为“异常”，且重启操作无法恢复业务，可能处于卡死或无响应状态（如进程僵死）。概率估计 ~30%
③ 以上都不是（请补充症状描述）
请回复 ① ② 或 ③ 完成确认。</t>
        </is>
      </c>
    </row>
    <row r="526">
      <c r="A526" t="inlineStr">
        <is>
          <t>Q2026013000250</t>
        </is>
      </c>
      <c r="B526" t="inlineStr">
        <is>
          <t>HCI</t>
        </is>
      </c>
      <c r="C526" t="inlineStr">
        <is>
          <t>6.11.1_R1</t>
        </is>
      </c>
      <c r="D526" t="inlineStr">
        <is>
          <t>关闭虚拟机电源卡住协助排查</t>
        </is>
      </c>
      <c r="E526" t="inlineStr">
        <is>
          <t>虚拟机</t>
        </is>
      </c>
      <c r="F526" t="inlineStr">
        <is>
          <t>虚拟机开关机</t>
        </is>
      </c>
      <c r="G526" t="inlineStr">
        <is>
          <t>根据客户描述“关闭虚拟机电源卡住”，这直接指向虚拟机的电源操作生命周期问题。您的问题可能属于以下故障之一，请确认：
① 虚拟机-004 虚拟机关机失败
   判断依据：客户明确描述执行“关闭虚拟机电源”操作时出现“卡住”现象，即关机任务无法正常结束或超时，符合虚拟机关机失败的故障定义。概率估计 ~95%
③ 以上都不是（请补充症状描述）
请回复 ① 或 ③ 完成确认。</t>
        </is>
      </c>
    </row>
    <row r="527">
      <c r="A527" t="inlineStr">
        <is>
          <t>Q2026013000033</t>
        </is>
      </c>
      <c r="B527" t="inlineStr">
        <is>
          <t>HCI</t>
        </is>
      </c>
      <c r="C527" t="inlineStr">
        <is>
          <t>6.10.0_R2</t>
        </is>
      </c>
      <c r="D527" t="inlineStr">
        <is>
          <t>winserver死机动不了，重启后回复，需要排查原因</t>
        </is>
      </c>
      <c r="E527" t="inlineStr">
        <is>
          <t>虚拟机</t>
        </is>
      </c>
      <c r="F527" t="inlineStr">
        <is>
          <t>虚拟机开关机</t>
        </is>
      </c>
      <c r="G527" t="inlineStr">
        <is>
          <t>根据客户描述“winserver死机动不了，重启后回复”，核心症状为虚拟机无响应（死机），且操作系统为 Windows Server，您的问题可能属于以下故障之一，请确认：
① 虚拟机-039 虚拟机卡死无响应
   判断依据：客户描述“死机动不了”，直接对应虚拟机无响应、卡死的症状，概率估计 ~70%
② 虚拟机-042 虚拟机内部蓝屏
   判断依据：Windows Server 系统出现蓝屏（BSOD）且未配置自动重启或卡在蓝屏界面时，外部表现常为“死机动不了”，概率估计 ~25%
③ 以上都不是（请补充症状描述）
请回复 ① ② 或 ③ 完成确认。</t>
        </is>
      </c>
    </row>
    <row r="528">
      <c r="A528" t="inlineStr">
        <is>
          <t>Q2026012901927</t>
        </is>
      </c>
      <c r="B528" t="inlineStr">
        <is>
          <t>HCI</t>
        </is>
      </c>
      <c r="C528" t="inlineStr">
        <is>
          <t>HCI6.10.0</t>
        </is>
      </c>
      <c r="D528">
        <f>===海外工单信息====
    海外工单ID：20260126860082
    事件等级：Priority3
    产品线：HCI::6.10.0
====客户信息====
    客户ID：72
    客户MDM ID：87632faeae4d911d9fc5ea7bf463c904
    客户名称：Professional Link Srl【Italy】
    客户区域：Italy
    客户类型：null
====工单信息====
TAC负责人：陈平
研发责任人：
【事件编号】Ticket#20260126860082
【上升工单】
【版本信息】
【问题描述】1月26日客户操作虚拟机关机，10:15操作关机没有成功，然后10:55渠道操作关机一直没有完成，直到13:18才提示报错，13:18之后客户才重启完成虚拟机
【业务影响】
【当前进展】
1）查看qemu日志只有从10:19到13:01的日志，期间没有
【下一步计划】需要协助分析下虚拟机关机这么慢的原因</f>
        <v/>
      </c>
      <c r="E528" t="inlineStr">
        <is>
          <t>虚拟机</t>
        </is>
      </c>
      <c r="F528" t="inlineStr">
        <is>
          <t>虚拟机开关机</t>
        </is>
      </c>
      <c r="G528" t="inlineStr">
        <is>
          <t>根据输入内容“nan”，未检测到有效的故障描述、告警或日志信息，无法提取关键实体或匹配错误模式，故无法定位具体故障分类。
③ 以上都不是（请补充症状描述）
请回复 ① ② 或 ③ 完成确认。</t>
        </is>
      </c>
    </row>
    <row r="529">
      <c r="A529" t="inlineStr">
        <is>
          <t>Q2026012901140</t>
        </is>
      </c>
      <c r="B529" t="inlineStr">
        <is>
          <t>HCI</t>
        </is>
      </c>
      <c r="C529" t="inlineStr">
        <is>
          <t>6.10.0</t>
        </is>
      </c>
      <c r="D529" t="inlineStr">
        <is>
          <t>winserver重启起不来</t>
        </is>
      </c>
      <c r="E529" t="inlineStr">
        <is>
          <t>虚拟机</t>
        </is>
      </c>
      <c r="F529" t="inlineStr">
        <is>
          <t>虚拟机开关机</t>
        </is>
      </c>
      <c r="G529" t="inlineStr">
        <is>
          <t>根据客户描述“winserver重启起不来”，故障特征涉及虚拟机生命周期操作异常。
① **虚拟机-005 虚拟机重启失败**
   判断依据：客户明确描述虚拟机执行了“重启”操作后无法正常启动，直接对应重启失败场景，概率估计 ~80%
② **虚拟机-003 虚拟机开机失败**
   判断依据：客户描述“起不来”是核心症状，若重启操作已导致虚拟机关闭但无法重新启动，本质上也属于开机失败范畴，概率估计 ~15%
③ 以上都不是（请补充症状描述）
请回复 ① ② 或 ③ 完成确认。</t>
        </is>
      </c>
    </row>
    <row r="530">
      <c r="A530" t="inlineStr">
        <is>
          <t>Q2026012901077</t>
        </is>
      </c>
      <c r="B530" t="inlineStr">
        <is>
          <t>HCI</t>
        </is>
      </c>
      <c r="C530" t="inlineStr">
        <is>
          <t>6.0.0_R5</t>
        </is>
      </c>
      <c r="D530" t="inlineStr">
        <is>
          <t>磁盘报坏道，虚拟机无法开机</t>
        </is>
      </c>
      <c r="E530" t="inlineStr">
        <is>
          <t>虚拟机</t>
        </is>
      </c>
      <c r="F530" t="inlineStr">
        <is>
          <t>虚拟机开关机</t>
        </is>
      </c>
      <c r="G530" t="inlineStr">
        <is>
          <t>根据客户描述中明确提及的“磁盘报坏道”硬件故障特征及“虚拟机无法开机”的业务影响，您的问题可能属于以下故障之一，请确认：
① 硬件-023 硬盘坏道
   判断依据：客户描述“磁盘报坏道”，直接指向物理磁盘介质损坏或扇区故障，概率估计 ~60%
② 虚拟机-003 虚拟机开机失败
   判断依据：客户描述“虚拟机无法开机”，这是磁盘坏道导致存储不可访问后的直接业务影响，概率估计 ~40%
③ 以上都不是（请补充症状描述）
请回复 ① ② 或 ③ 完成确认。</t>
        </is>
      </c>
    </row>
    <row r="531">
      <c r="A531" t="inlineStr">
        <is>
          <t>Q2026012900678</t>
        </is>
      </c>
      <c r="B531" t="inlineStr">
        <is>
          <t>HCI</t>
        </is>
      </c>
      <c r="C531" t="inlineStr"/>
      <c r="D531" t="inlineStr">
        <is>
          <t>客户侧两虚拟机运行异常，已成重启恢复了现在需要查原因</t>
        </is>
      </c>
      <c r="E531" t="inlineStr">
        <is>
          <t>虚拟机</t>
        </is>
      </c>
      <c r="F531" t="inlineStr">
        <is>
          <t>虚拟机开关机</t>
        </is>
      </c>
      <c r="G531" t="inlineStr">
        <is>
          <t>根据客户描述“虚拟机运行异常，已重启恢复，需查原因”，核心线索是“运行异常”导致了服务中断且需要“重启”来恢复。这通常指向虚拟机进入不可服务状态。
您的问题可能属于以下故障之一，请确认：
① 虚拟机-039 虚拟机卡死无响应
   判断依据：客户提及“运行异常”且需“重启恢复”，这是虚拟机进程卡死（如资源耗尽、IO Hang等）后的典型表现，概率估计 ~60%
② 虚拟机-042 虚拟机内部蓝屏
   判断依据：若“运行异常”指代系统崩溃，Windows蓝屏或Linux Kernel Panic通常也会导致业务中断并需重启恢复，概率估计 ~30%
③ 以上都不是（请补充症状描述）
请回复 ① ② 或 ③ 完成确认。</t>
        </is>
      </c>
    </row>
    <row r="532">
      <c r="A532" t="inlineStr">
        <is>
          <t>Q2026012900596</t>
        </is>
      </c>
      <c r="B532" t="inlineStr">
        <is>
          <t>HCI</t>
        </is>
      </c>
      <c r="C532" t="inlineStr">
        <is>
          <t>HCI6.8.0</t>
        </is>
      </c>
      <c r="D532" t="inlineStr">
        <is>
          <t>hci虚拟机卡主需要协助处理</t>
        </is>
      </c>
      <c r="E532" t="inlineStr">
        <is>
          <t>虚拟机</t>
        </is>
      </c>
      <c r="F532" t="inlineStr">
        <is>
          <t>虚拟机开关机</t>
        </is>
      </c>
      <c r="G532" t="inlineStr">
        <is>
          <t>根据用户描述“虚拟机卡主”，该症状通常表现为虚拟机无响应或操作严重迟滞，可能属于以下故障分类，请确认：
① 虚拟机-039 虚拟机卡死无响应
   判断依据：用户描述关键词“卡主”，通常对应虚拟机处于僵死状态，控制台无法操作或无反应，概率估计 ~60%
② 虚拟机-036 虚拟机整体卡慢
   判断依据：用户描述“卡主”亦可能指代虚拟机运行极度缓慢，操作存在严重延迟但未完全死机，概率估计 ~35%
③ 以上都不是（请补充症状描述）
请回复 ① ② 或 ③ 完成确认。</t>
        </is>
      </c>
    </row>
    <row r="533">
      <c r="A533" t="inlineStr">
        <is>
          <t>Q2026012900484</t>
        </is>
      </c>
      <c r="B533" t="inlineStr">
        <is>
          <t>HCI</t>
        </is>
      </c>
      <c r="C533" t="inlineStr">
        <is>
          <t>6.8.0_R1</t>
        </is>
      </c>
      <c r="D533" t="inlineStr">
        <is>
          <t xml:space="preserve">win10虚拟机开机卡住
在欢迎界面  </t>
        </is>
      </c>
      <c r="E533" t="inlineStr">
        <is>
          <t>虚拟机</t>
        </is>
      </c>
      <c r="F533" t="inlineStr">
        <is>
          <t>虚拟机开关机</t>
        </is>
      </c>
      <c r="G533" t="inlineStr">
        <is>
          <t>根据您描述的“win10虚拟机开机卡住 在欢迎界面”，故障现象指向虚拟机生命周期管理中的启动阶段异常。请确认以下分类：
① 虚拟机-003 虚拟机开机失败
   判断依据：用户明确描述虚拟机在“开机”过程中“卡住”在欢迎界面，属于启动流程未能正常完成的状态，概率估计 ~90%
② 虚拟机-039 虚拟机卡死无响应
   判断依据：虚拟机停留在欢迎界面无进展，可能处于系统内部死机或资源交互挂起状态，概率估计 ~10%
③ 以上都不是（请补充症状描述）
请回复 ① ② 或 ③ 完成确认。</t>
        </is>
      </c>
    </row>
    <row r="534">
      <c r="A534" t="inlineStr">
        <is>
          <t>Q2026012900455</t>
        </is>
      </c>
      <c r="B534" t="inlineStr">
        <is>
          <t>HCI</t>
        </is>
      </c>
      <c r="C534" t="inlineStr">
        <is>
          <t>6.10.0_R1</t>
        </is>
      </c>
      <c r="D534" t="inlineStr">
        <is>
          <t>两台核心业务虚拟机同时重启  业务中断几分钟 目前已恢复  需要排查原因</t>
        </is>
      </c>
      <c r="E534" t="inlineStr">
        <is>
          <t>虚拟机</t>
        </is>
      </c>
      <c r="F534" t="inlineStr">
        <is>
          <t>虚拟机开关机</t>
        </is>
      </c>
      <c r="G534" t="inlineStr">
        <is>
          <t>根据“两台核心业务虚拟机同时重启”这一关键特征，问题可能属于以下故障之一，请确认：
① 虚拟机-033 虚拟机异常HA
   判断依据：客户描述“两台虚拟机同时重启”，高度暗示宿主机可能发生故障导致虚拟机被 HA 机制在其他主机上重启，概率估计 ~80%
② 虚拟机-042 虚拟机内部蓝屏
   判断依据：虚拟机内部系统崩溃（如蓝屏）后自动重启，若两台业务机环境高度一致可能同时触发，概率估计 ~15%
③ 以上都不是（请补充症状描述）
请回复 ① ② 或 ③ 完成确认。</t>
        </is>
      </c>
    </row>
    <row r="535">
      <c r="A535" t="inlineStr">
        <is>
          <t>Q2026012900369</t>
        </is>
      </c>
      <c r="B535" t="inlineStr">
        <is>
          <t>HCI</t>
        </is>
      </c>
      <c r="C535" t="inlineStr"/>
      <c r="D535" t="inlineStr">
        <is>
          <t>内部关闭虚拟机的任务卡住</t>
        </is>
      </c>
      <c r="E535" t="inlineStr">
        <is>
          <t>虚拟机</t>
        </is>
      </c>
      <c r="F535" t="inlineStr">
        <is>
          <t>虚拟机开关机</t>
        </is>
      </c>
      <c r="G535" t="inlineStr">
        <is>
          <t>根据 [客户描述“内部关闭虚拟机的任务卡住”]，您的问题可能属于以下故障之一，请确认：
① 虚拟机-004 虚拟机关机失败
   判断依据：用户明确提及执行“关闭虚拟机”操作，且任务状态表现为“卡住”（即任务长时间未完成或未返回），符合虚拟机关机失败的故障特征。概率估计 ~95%
③ 以上都不是（请补充症状描述）
请回复 ① 或 ③ 完成确认。</t>
        </is>
      </c>
    </row>
    <row r="536">
      <c r="A536" t="inlineStr">
        <is>
          <t>Q2026012900071</t>
        </is>
      </c>
      <c r="B536" t="inlineStr">
        <is>
          <t>HCI</t>
        </is>
      </c>
      <c r="C536" t="inlineStr">
        <is>
          <t>HCI6.10.0_R2</t>
        </is>
      </c>
      <c r="D536" t="inlineStr">
        <is>
          <t>kylin的虚拟机一直是在正在重启状态卡主。HA拉起虚拟机失败？</t>
        </is>
      </c>
      <c r="E536" t="inlineStr">
        <is>
          <t>虚拟机</t>
        </is>
      </c>
      <c r="F536" t="inlineStr">
        <is>
          <t>虚拟机开关机</t>
        </is>
      </c>
      <c r="G536" t="inlineStr">
        <is>
          <t>根据用户描述“虚拟机卡在正在重启状态”及“HA拉起虚拟机失败”，您的问题可能属于以下故障之一，请确认：
① 虚拟机-033 虚拟机异常HA
   判断依据：用户明确描述“HA拉起虚拟机失败”，指向高可用机制触发后执行异常，概率估计 ~60%
② 虚拟机-005 虚拟机重启失败
   判断依据：用户描述虚拟机“一直是在正在重启状态卡主”，指向虚拟机状态流转卡死或重启任务超时，概率估计 ~35%
③ 以上都不是（请补充症状描述）
请回复 ① ② 或 ③ 完成确认。</t>
        </is>
      </c>
    </row>
    <row r="537">
      <c r="A537" t="inlineStr">
        <is>
          <t>Q2026012801834</t>
        </is>
      </c>
      <c r="B537" t="inlineStr">
        <is>
          <t>HCI</t>
        </is>
      </c>
      <c r="C537" t="inlineStr">
        <is>
          <t>HCI6.11.1</t>
        </is>
      </c>
      <c r="D537">
        <f>===海外工单信息====
    海外工单ID：20260114860133
    事件等级：Priority3
    产品线：HCI::6.11.1
====客户信息====
    客户ID：150
    客户MDM ID：null
    客户名称：University of Calabria
    客户区域：Italy
    客户类型：null
====工单信息====
一线负责人：无
客服负责人：Teoh
研发负责人：21206朱伟
【事件编号】Ticket#20260114860133
【版本信息】HCI 6.11.1
【CTI专家】陈平
【业务影响】无
【问题描述】客户3D虚拟机无法开机，显示资源不足
【排查进展】
-四台主机为GPU主机，有三台的主机GPU配置资源很多不知道为什么显示资源不足  -主机10，11，12的资源都有，但是虚拟机无法获取vgpu资源
-主机和虚拟机的配置
-HCI 有aGPU授权
 - 执行 /usr/bin/perl /sf/bin/ini_host_gpu.pl &amp;&amp; /usr/bin/perl /sf/bin/ini_vgpu_load.pl初始化显卡，但是问题依旧  
  -/sf/cfg/gpu_info.ini 是有配置的
  -对应驱动版本也没问题
  -强制运行主机位置也一样
  -vtpdaemon日志
【远程信息】
ID TeamViewer: 1 903 370 442
password: j221dncj</f>
        <v/>
      </c>
      <c r="E537" t="inlineStr">
        <is>
          <t>虚拟机</t>
        </is>
      </c>
      <c r="F537" t="inlineStr">
        <is>
          <t>虚拟机开关机</t>
        </is>
      </c>
      <c r="G537" t="inlineStr">
        <is>
          <t>根据 [当前工单描述为空]，无法进行精确故障定位，请确认问题所属领域或补充信息：
① 虚拟机-L1 虚拟机
   判断依据：未获取到具体日志或描述，列出常见故障域供参考，概率估计 ~N/A
② 存储-L1 存储
   判断依据：未获取到具体日志或描述，列出常见故障域供参考，概率估计 ~N/A
③ 以上都不是（请补充症状描述）
请回复 ① ② 或 ③ 完成确认。</t>
        </is>
      </c>
    </row>
    <row r="538">
      <c r="A538" t="inlineStr">
        <is>
          <t>Q2026012801751</t>
        </is>
      </c>
      <c r="B538" t="inlineStr">
        <is>
          <t>HCI</t>
        </is>
      </c>
      <c r="C538" t="inlineStr"/>
      <c r="D538" t="inlineStr">
        <is>
          <t>新建的虚拟机当前一直在HA，强制关机也关不了，编辑也编辑不了，协助处理</t>
        </is>
      </c>
      <c r="E538" t="inlineStr">
        <is>
          <t>虚拟机</t>
        </is>
      </c>
      <c r="F538" t="inlineStr">
        <is>
          <t>虚拟机开关机</t>
        </is>
      </c>
      <c r="G538" t="inlineStr">
        <is>
          <t>根据客户描述“新建虚拟机一直在HA，强制关机和编辑均无效”，问题核心在于虚拟机状态异常导致的业务中断与管理受阻。
根据您的描述，该问题可能属于以下故障分类，请确认：
① 虚拟机-033 虚拟机异常HA
   判断依据：客户明确描述“虚拟机当前一直在HA”，表明虚拟机处于反复重启或非预期的HA切换状态，概率估计 ~60%
② 虚拟机-039 虚拟机卡死无响应
   判断依据：客户描述“强制关机也关不了，编辑也编辑不了”，这是虚拟机进程卡死或状态死锁的典型表现，概率估计 ~35%
③ 以上都不是（请补充症状描述）
请回复 ① ② 或 ③ 完成确认。</t>
        </is>
      </c>
    </row>
    <row r="539">
      <c r="A539" t="inlineStr">
        <is>
          <t>Q2026012801529</t>
        </is>
      </c>
      <c r="B539" t="inlineStr">
        <is>
          <t>HCI</t>
        </is>
      </c>
      <c r="C539" t="inlineStr"/>
      <c r="D539" t="inlineStr">
        <is>
          <t>HCI上有个虚拟机自动重启了，协助排查原因</t>
        </is>
      </c>
      <c r="E539" t="inlineStr">
        <is>
          <t>虚拟机</t>
        </is>
      </c>
      <c r="F539" t="inlineStr">
        <is>
          <t>虚拟机开关机</t>
        </is>
      </c>
      <c r="G539" t="inlineStr">
        <is>
          <t>根据客户描述“虚拟机自动重启”，这通常是平台保护机制触发或内部系统崩溃的表现。您的问题可能属于以下故障之一，请确认：
① **虚拟机-033 虚拟机异常HA**
   判断依据：虚拟机非人为操作自动重启，最常见原因为宿主机故障或服务异常，导致平台高可用（HA）机制触发虚拟机在其他主机重新拉起，概率估计 ~60%
② **虚拟机-042 虚拟机内部蓝屏**
   判断依据：若虚拟机操作系统内部发生严重错误（如Windows蓝屏、Linux Kernel Panic），系统配置了自动重启也会导致此现象，概率估计 ~30%
③ 以上都不是（请补充症状描述）
请回复 ① ② 或 ③ 完成确认。</t>
        </is>
      </c>
    </row>
    <row r="540">
      <c r="A540" t="inlineStr">
        <is>
          <t>Q2026012801417</t>
        </is>
      </c>
      <c r="B540" t="inlineStr">
        <is>
          <t>HCI</t>
        </is>
      </c>
      <c r="C540" t="inlineStr">
        <is>
          <t>6.7.0_R3</t>
        </is>
      </c>
      <c r="D540" t="inlineStr">
        <is>
          <t>存储卷满了   核心数据库虚拟机无法启动</t>
        </is>
      </c>
      <c r="E540" t="inlineStr">
        <is>
          <t>虚拟机</t>
        </is>
      </c>
      <c r="F540" t="inlineStr">
        <is>
          <t>虚拟机开关机</t>
        </is>
      </c>
      <c r="G540" t="inlineStr">
        <is>
          <t>根据您提供的故障现象“存储卷满了”及“核心数据库虚拟机无法启动”，这直接指向存储空间耗尽问题。
您的问题可能属于以下故障之一，请确认：
① 存储-018 虚拟存储空间不足或满或高
   判断依据：客户描述明确指出“存储卷满了”，这是导致虚拟机无法启动的直接原因，符合存储空间耗尽的故障定义，概率估计 ~95%
③ 以上都不是（请补充症状描述）
请回复 ① 或 ③ 完成确认。</t>
        </is>
      </c>
    </row>
    <row r="541">
      <c r="A541" t="inlineStr">
        <is>
          <t>Q2026012800988</t>
        </is>
      </c>
      <c r="B541" t="inlineStr">
        <is>
          <t>HCI</t>
        </is>
      </c>
      <c r="C541" t="inlineStr"/>
      <c r="D541" t="inlineStr">
        <is>
          <t>服务器内存64G。只运行一台32G，然后其他虚拟机无法开机协助处理</t>
        </is>
      </c>
      <c r="E541" t="inlineStr">
        <is>
          <t>虚拟机</t>
        </is>
      </c>
      <c r="F541" t="inlineStr">
        <is>
          <t>虚拟机开关机</t>
        </is>
      </c>
      <c r="G541" t="inlineStr">
        <is>
          <t>根据 [客户描述明确指出“其他虚拟机无法开机”这一核心故障现象，并提供了物理内存（64G）与已用资源（32G）的上下文，指向虚拟机生命周期管理中的启动环节失败]，您的问题可能属于以下故障之一，请确认：
① 虚拟机-003 虚拟机开机失败
   判断依据：客户描述核心动作“其他虚拟机无法开机”，直接对应虚拟机启动操作失败的场景。用户提供的内存数据可能是怀疑资源不足导致启动失败的依据。概率估计 ~95%
③ 以上都不是（请补充症状描述）
请回复 ① 或 ③ 完成确认。</t>
        </is>
      </c>
    </row>
    <row r="542">
      <c r="A542" t="inlineStr">
        <is>
          <t>Q2026012800666</t>
        </is>
      </c>
      <c r="B542" t="inlineStr">
        <is>
          <t>HCI</t>
        </is>
      </c>
      <c r="C542" t="inlineStr">
        <is>
          <t>6.10.0_R2</t>
        </is>
      </c>
      <c r="D542" t="inlineStr">
        <is>
          <t>linux无法开机，经常凌晨2点无响应</t>
        </is>
      </c>
      <c r="E542" t="inlineStr">
        <is>
          <t>虚拟机</t>
        </is>
      </c>
      <c r="F542" t="inlineStr">
        <is>
          <t>虚拟机开关机</t>
        </is>
      </c>
      <c r="G542" t="inlineStr">
        <is>
          <t>根据您提供的描述“linux无法开机，经常凌晨2点无响应”，分析如下：
① 虚拟机-003 虚拟机开机失败
   判断依据：客户明确指出当前状态为“linux无法开机”，这是当前最直接的故障现象。概率估计 ~70%
② 虚拟机-039 虚拟机卡死无响应
   判断依据：客户提到“经常凌晨2点无响应”，表明虚拟机可能处于假死状态（显示运行但无响应），用户尝试操作时误判为无法开机，或因卡死导致后续开机异常。概率估计 ~25%
③ 以上都不是（请补充症状描述）
请回复 ① ② 或 ③ 完成确认。</t>
        </is>
      </c>
    </row>
    <row r="543">
      <c r="A543" t="inlineStr">
        <is>
          <t>Q2026012800326</t>
        </is>
      </c>
      <c r="B543" t="inlineStr">
        <is>
          <t>HCI</t>
        </is>
      </c>
      <c r="C543" t="inlineStr">
        <is>
          <t>6.8.0</t>
        </is>
      </c>
      <c r="D543" t="inlineStr">
        <is>
          <t>一台虚拟机反馈昨天重启，需要协助排查原因</t>
        </is>
      </c>
      <c r="E543" t="inlineStr">
        <is>
          <t>虚拟机</t>
        </is>
      </c>
      <c r="F543" t="inlineStr">
        <is>
          <t>虚拟机开关机</t>
        </is>
      </c>
      <c r="G543" t="inlineStr"/>
    </row>
    <row r="544">
      <c r="A544" t="inlineStr">
        <is>
          <t>Q2026012800138</t>
        </is>
      </c>
      <c r="B544" t="inlineStr">
        <is>
          <t>HCI</t>
        </is>
      </c>
      <c r="C544" t="inlineStr">
        <is>
          <t>6.0.0_R5</t>
        </is>
      </c>
      <c r="D544" t="inlineStr">
        <is>
          <t>虚拟机自动重启，协助处理</t>
        </is>
      </c>
      <c r="E544" t="inlineStr">
        <is>
          <t>虚拟机</t>
        </is>
      </c>
      <c r="F544" t="inlineStr">
        <is>
          <t>虚拟机开关机</t>
        </is>
      </c>
      <c r="G544" t="inlineStr">
        <is>
          <t>根据您的描述“虚拟机自动重启”，该现象通常由虚拟机高可用（HA）机制触发或客户机操作系统内部崩溃导致。请确认具体的故障分类：
① 虚拟机-033 虚拟机异常HA
   判断依据：HCI 平台中虚拟机非人为操作自动重启，最常见原因为 HA 机制被触发（如宿主机故障、网络脑裂导致虚拟机在其它节点拉起），概率估计 ~60%
② 虚拟机-042 虚拟机内部蓝屏
   判断依据：若虚拟机操作系统内部发生严重崩溃（如 Windows 蓝屏、Linux Kernel Panic），系统可能配置了自动重启策略，导致观察到重启现象，概率估计 ~30%
③ 以上都不是（请补充症状描述）
请回复 ① ② 或 ③ 完成确认。</t>
        </is>
      </c>
    </row>
    <row r="545">
      <c r="A545" t="inlineStr">
        <is>
          <t>Q2026012800136</t>
        </is>
      </c>
      <c r="B545" t="inlineStr">
        <is>
          <t>HCI</t>
        </is>
      </c>
      <c r="C545" t="inlineStr">
        <is>
          <t>6.10.0R2</t>
        </is>
      </c>
      <c r="D545" t="inlineStr">
        <is>
          <t>早上发现好多虚拟机都重启了，然后看日志这里有 ha失败。需要排查下是什么原因引起虚拟机重启</t>
        </is>
      </c>
      <c r="E545" t="inlineStr">
        <is>
          <t>虚拟机</t>
        </is>
      </c>
      <c r="F545" t="inlineStr">
        <is>
          <t>虚拟机开关机</t>
        </is>
      </c>
      <c r="G545" t="inlineStr">
        <is>
          <t>根据 [虚拟机批量重启且日志明确提及“ha失败”]，您的问题可能属于以下故障之一，请确认：
① 虚拟机-033 虚拟机异常HA
   判断依据：客户描述“好多虚拟机都重启了”，且日志中出现“ha失败”，表明集群内可能发生了 HA（高可用）触发行为，但执行过程存在异常或报错，概率估计 ~55%
② 虚拟机-032 虚拟机HA不达预期
   判断依据：日志明确记录“ha失败”，指代高可用功能执行未达到预期结果（如未能成功拉起或拉起位置错误），概率估计 ~40%
③ 以上都不是（请补充症状描述）
请回复 ① ② 或 ③ 完成确认。</t>
        </is>
      </c>
    </row>
    <row r="546">
      <c r="A546" t="inlineStr">
        <is>
          <t>Q2026012701871</t>
        </is>
      </c>
      <c r="B546" t="inlineStr">
        <is>
          <t>HCI</t>
        </is>
      </c>
      <c r="C546" t="inlineStr">
        <is>
          <t>6.3.0_R1</t>
        </is>
      </c>
      <c r="D546" t="inlineStr">
        <is>
          <t xml:space="preserve">Ubuntu 24.04.03系统安装之完之后无法开机 </t>
        </is>
      </c>
      <c r="E546" t="inlineStr">
        <is>
          <t>虚拟机</t>
        </is>
      </c>
      <c r="F546" t="inlineStr">
        <is>
          <t>虚拟机开关机</t>
        </is>
      </c>
      <c r="G546" t="inlineStr">
        <is>
          <t>根据客户描述“Ubuntu 24.04.03系统安装之完之后无法开机”，这直接指向虚拟机生命周期管理中的启动环节问题。
您的问题可能属于以下故障之一，请确认：
① **虚拟机-003 虚拟机开机失败**
   判断依据：客户明确描述虚拟机在操作系统安装完成后“无法开机”，直接对应虚拟机开机失败的故障现象，概率估计 ~85%
② **虚拟机-041 虚拟机内部黑屏**
   判断依据：部分现场场景下，“无法开机”可能指代按下开机键后界面无显示（黑屏），虽状态可能为运行中，但表象符合客户描述，概率估计 ~15%
③ 以上都不是（请补充症状描述）
请回复 ① ② 或 ③ 完成确认。</t>
        </is>
      </c>
    </row>
    <row r="547">
      <c r="A547" t="inlineStr">
        <is>
          <t>Q2026012701207</t>
        </is>
      </c>
      <c r="B547" t="inlineStr">
        <is>
          <t>HCI</t>
        </is>
      </c>
      <c r="C547" t="inlineStr">
        <is>
          <t>6.0.0R5</t>
        </is>
      </c>
      <c r="D547" t="inlineStr">
        <is>
          <t>虚拟机无法开机</t>
        </is>
      </c>
      <c r="E547" t="inlineStr">
        <is>
          <t>虚拟机</t>
        </is>
      </c>
      <c r="F547" t="inlineStr">
        <is>
          <t>虚拟机开关机</t>
        </is>
      </c>
      <c r="G547" t="inlineStr">
        <is>
          <t>根据客户描述“虚拟机无法开机”，这直接对应虚拟机生命周期管理中的电源操作异常，故障特征明确指向开机流程受阻。
① 虚拟机-003 虚拟机开机失败
   判断依据：客户描述“虚拟机无法开机”，直接命中该分类定义，涵盖点击开机无反应、开机任务报错或卡住等场景，概率估计 ~99%
③ 以上都不是（请补充症状描述）
请回复 ① 或 ③ 完成确认。</t>
        </is>
      </c>
    </row>
    <row r="548">
      <c r="A548" t="inlineStr">
        <is>
          <t>Q2026012701131</t>
        </is>
      </c>
      <c r="B548" t="inlineStr">
        <is>
          <t>HCI</t>
        </is>
      </c>
      <c r="C548" t="inlineStr">
        <is>
          <t>HCI6.10.0_R1</t>
        </is>
      </c>
      <c r="D548" t="inlineStr">
        <is>
          <t xml:space="preserve">HCI日常巡检提示 存储快照导致虚拟机不能开机
hci是HCI6.10.0_R1的版本不是R2 </t>
        </is>
      </c>
      <c r="E548" t="inlineStr">
        <is>
          <t>虚拟机</t>
        </is>
      </c>
      <c r="F548" t="inlineStr">
        <is>
          <t>虚拟机开关机</t>
        </is>
      </c>
      <c r="G548" t="inlineStr">
        <is>
          <t>根据 [用户明确描述“虚拟机不能开机”这一核心症状]，您的问题可能属于以下故障之一，请确认：
① 虚拟机-003 虚拟机开机失败
   判断依据：客户描述明确指出“存储快照导致虚拟机不能开机”，核心故障表现为虚拟机无法正常启动，符合开机失败的分类定义，概率估计 ~95%
③ 以上都不是（请补充症状描述）
请回复 ① 或 ③ 完成确认。</t>
        </is>
      </c>
    </row>
    <row r="549">
      <c r="A549" t="inlineStr">
        <is>
          <t>Q2026012701114</t>
        </is>
      </c>
      <c r="B549" t="inlineStr">
        <is>
          <t>HCI</t>
        </is>
      </c>
      <c r="C549" t="inlineStr">
        <is>
          <t>6.10.0_R2</t>
        </is>
      </c>
      <c r="D549" t="inlineStr">
        <is>
          <t>虚拟机因为内存问题 无法开机</t>
        </is>
      </c>
      <c r="E549" t="inlineStr">
        <is>
          <t>虚拟机</t>
        </is>
      </c>
      <c r="F549" t="inlineStr">
        <is>
          <t>虚拟机开关机</t>
        </is>
      </c>
      <c r="G549" t="inlineStr">
        <is>
          <t>根据客户描述“虚拟机因为内存问题 无法开机”，这直接指向虚拟机生命周期管理中的启动环节故障。虽然客户已经自行判断为“内存问题”（可能是宿主机内存不足或内存分配错误），但在HCI故障分类中，该现象首先归集于虚拟机开机失败范畴。
您的问题可能属于以下故障之一，请确认：
① 虚拟机-003 虚拟机开机失败
   判断依据：客户描述明确提及“虚拟机...无法开机”，符合该分类的核心定义，概率估计 ~95%
③ 以上都不是（请补充症状描述）
请回复 ① 或 ③ 完成确认。</t>
        </is>
      </c>
    </row>
    <row r="550">
      <c r="A550" t="inlineStr">
        <is>
          <t>Q2026012701099</t>
        </is>
      </c>
      <c r="B550" t="inlineStr">
        <is>
          <t>HCI</t>
        </is>
      </c>
      <c r="C550" t="inlineStr">
        <is>
          <t>6.3.0_R1</t>
        </is>
      </c>
      <c r="D550" t="inlineStr">
        <is>
          <t xml:space="preserve">虚拟机启动不了怀疑是360杀毒更新了东西
</t>
        </is>
      </c>
      <c r="E550" t="inlineStr">
        <is>
          <t>虚拟机</t>
        </is>
      </c>
      <c r="F550" t="inlineStr">
        <is>
          <t>虚拟机开关机</t>
        </is>
      </c>
      <c r="G550" t="inlineStr">
        <is>
          <t>根据客户描述“虚拟机启动不了”及怀疑诱因“360杀毒更新”，您的问题可能属于以下故障之一，请确认：
① **虚拟机-003 虚拟机开机失败**
   判断依据：客户明确描述虚拟机“启动不了”，直接对应开机失败现象，概率估计 ~60%
② **虚拟机-042 虚拟机内部蓝屏**
   判断依据：客户怀疑“360杀毒更新”，杀毒软件更新常导致驱动冲突引发系统蓝屏，表现为虚拟机无法正常进入系统，概率估计 ~35%
③ 以上都不是（请补充症状描述）
请回复 ① ② 或 ③ 完成确认。</t>
        </is>
      </c>
    </row>
    <row r="551">
      <c r="A551" t="inlineStr">
        <is>
          <t>Q2026012700888</t>
        </is>
      </c>
      <c r="B551" t="inlineStr">
        <is>
          <t>HCI</t>
        </is>
      </c>
      <c r="C551" t="inlineStr">
        <is>
          <t>6.8.0_R2</t>
        </is>
      </c>
      <c r="D551" t="inlineStr">
        <is>
          <t>虚拟机无法开机 提示文件保护</t>
        </is>
      </c>
      <c r="E551" t="inlineStr">
        <is>
          <t>虚拟机</t>
        </is>
      </c>
      <c r="F551" t="inlineStr">
        <is>
          <t>虚拟机开关机</t>
        </is>
      </c>
      <c r="G551" t="inlineStr">
        <is>
          <t>根据您提供的信息“虚拟机无法开机”及错误提示“文件保护”，分析如下：
**关键信息提取**：
- **核心故障**：虚拟机无法执行开机操作。
- **错误提示**：文件保护。这通常意味着虚拟机磁盘文件被系统锁定（如正在备份、快照、防勒索保护中）或权限受限，导致开机流程被拦截。
**分类定位**：
症状直接指向虚拟机生命周期管理中的启动环节，虽然涉及文件锁定（可能关联备份/存储），但用户的核心诉求和直接表象是“开机失败”。
根据分析，您的问题可能属于以下故障，请确认：
① **虚拟机-003 虚拟机开机失败**
   判断依据：用户明确描述“虚拟机无法开机”，且“文件保护”报错是开机流程中检测到文件锁定状态而导致的失败，符合该分类定义，概率估计 ~95%
③ 以上都不是（请补充症状描述）
请回复 ① 或 ③ 完成确认。</t>
        </is>
      </c>
    </row>
    <row r="552">
      <c r="A552" t="inlineStr">
        <is>
          <t>Q2026012700354</t>
        </is>
      </c>
      <c r="B552" t="inlineStr">
        <is>
          <t>HCI</t>
        </is>
      </c>
      <c r="C552" t="inlineStr"/>
      <c r="D552" t="inlineStr">
        <is>
          <t>虚拟机重启快20小时了还没重启起来</t>
        </is>
      </c>
      <c r="E552" t="inlineStr">
        <is>
          <t>虚拟机</t>
        </is>
      </c>
      <c r="F552" t="inlineStr">
        <is>
          <t>虚拟机开关机</t>
        </is>
      </c>
      <c r="G552" t="inlineStr">
        <is>
          <t>根据您提供的“虚拟机重启快20小时了还没重启起来”这一关键症状，系统判定该问题属于虚拟机生命周期管理异常。重启操作长时间未完成，通常对应任务卡死或底层进程无响应。
您的问题可能属于以下故障之一，请确认：
① **虚拟机-005 虚拟机重启失败**
   判断依据：用户明确执行了“重启”操作，且任务持续时间长达20小时未结束，属于重启任务超时或卡死，符合重启失败/异常的典型特征。概率估计 ~70%
② **虚拟机-039 虚拟机卡死无响应**
   判断依据：虚拟机重启卡住20小时，往往是因为虚拟机进程（QEMU）或客户机操作系统处于僵死状态，导致无法响应关机或重启指令，实质上已表现为卡死状态。概率估计 ~25%
③ 以上都不是（请补充症状描述）
请回复 ① ② 或 ③ 完成确认。</t>
        </is>
      </c>
    </row>
    <row r="553">
      <c r="A553" t="inlineStr">
        <is>
          <t>Q2026012700299</t>
        </is>
      </c>
      <c r="B553" t="inlineStr">
        <is>
          <t>HCI</t>
        </is>
      </c>
      <c r="C553" t="inlineStr">
        <is>
          <t>6.10.0R2</t>
        </is>
      </c>
      <c r="D553" t="inlineStr">
        <is>
          <t>虚拟机会自动重启 协助看下</t>
        </is>
      </c>
      <c r="E553" t="inlineStr">
        <is>
          <t>虚拟机</t>
        </is>
      </c>
      <c r="F553" t="inlineStr">
        <is>
          <t>虚拟机开关机</t>
        </is>
      </c>
      <c r="G553" t="inlineStr">
        <is>
          <t>根据您的描述“虚拟机会自动重启”，这通常涉及平台高可用机制触发或虚拟机内部系统异常。请确认故障分类：
① 虚拟机-033 虚拟机异常HA
   判断依据：HCI 平台中虚拟机非人为操作的重启，最常见的原因为宿主机故障或心跳丢失导致 HA（高可用）机制被触发，业务虚拟机在集群内其他主机自动重启。
② 虚拟机-042 虚拟机内部蓝屏
   判断依据：若虚拟机内部操作系统发生严重崩溃（如 Windows 蓝屏、Linux Kernel Panic），且系统配置了自动重启策略，外观表现也为虚拟机自动重启，需结合 VNC 控制台确认是否有蓝屏截图。
③ 以上都不是（请补充症状描述）
请回复 ① ② 或 ③ 完成确认。</t>
        </is>
      </c>
    </row>
    <row r="554">
      <c r="A554" t="inlineStr">
        <is>
          <t>Q2026012700213</t>
        </is>
      </c>
      <c r="B554" t="inlineStr">
        <is>
          <t>HCI</t>
        </is>
      </c>
      <c r="C554" t="inlineStr">
        <is>
          <t>6.11.1</t>
        </is>
      </c>
      <c r="D554" t="inlineStr">
        <is>
          <t>【服务升级】：服务商通过数字化服务平台发起服务升级，请尽快联系服务商处理！&lt;br&gt;【工单描述】：redhat虚拟机磁盘有问题，进修复模式后，进不了虚拟机系统</t>
        </is>
      </c>
      <c r="E554" t="inlineStr">
        <is>
          <t>虚拟机</t>
        </is>
      </c>
      <c r="F554" t="inlineStr">
        <is>
          <t>虚拟机开关机</t>
        </is>
      </c>
      <c r="G554" t="inlineStr">
        <is>
          <t>根据您的描述“redhat虚拟机磁盘有问题，进修复模式”，故障现象指向虚拟机操作系统内部因磁盘或文件系统问题无法正常启动。Linux 虚拟机进入“修复模式”通常是因为文件系统损坏或磁盘挂载配置异常。
您的问题可能属于以下故障，请确认：
① **虚拟机-044 虚拟机内部空间或文件系统异常**
   判断依据：客户描述“redhat虚拟机磁盘有问题”及“进修复模式”，Linux 系统进入紧急模式或修复模式最常见的原因是文件系统损坏（需要 fsck 修复）或 `/etc/fstab` 配置错误导致无法挂载，符合虚拟机内部文件系统异常特征，概率估计 ~95%
③ 以上都不是（请补充症状描述）
请回复 ① 或 ③ 完成确认。</t>
        </is>
      </c>
    </row>
    <row r="555">
      <c r="A555" t="inlineStr">
        <is>
          <t>Q2026012700122</t>
        </is>
      </c>
      <c r="B555" t="inlineStr">
        <is>
          <t>HCI</t>
        </is>
      </c>
      <c r="C555" t="inlineStr">
        <is>
          <t>6.11.1_R1</t>
        </is>
      </c>
      <c r="D555" t="inlineStr">
        <is>
          <t>【服务升级】：服务商通过数字化服务平台发起服务升级，请尽快联系服务商处理！&lt;br&gt;【工单描述】：超融合一台虚拟机无响应自动重启 查原因</t>
        </is>
      </c>
      <c r="E555" t="inlineStr">
        <is>
          <t>虚拟机</t>
        </is>
      </c>
      <c r="F555" t="inlineStr">
        <is>
          <t>虚拟机开关机</t>
        </is>
      </c>
      <c r="G555" t="inlineStr">
        <is>
          <t>根据客户描述“超融合一台虚拟机无响应自动重启”，分析如下：
1.  **关键实体**：虚拟机。
2.  **关键症状**：“无响应”（表明虚拟机处于卡死、挂起或失去心跳状态），“自动重启”（表明平台 HA 机制介入或虚拟机崩溃恢复）。
3.  **错误模式匹配**：
    *   虚拟机先“无响应”后“自动重启”，是典型的 **虚拟机异常 HA** 场景。深信服 HCI 平台在检测到虚拟机心跳丢失或宿主机故障时，会触发 HA 机制在其他主机重新拉起虚拟机，或者虚拟机内部崩溃导致系统自动重启。
    *   同时，“无响应”也是 **虚拟机卡死无响应** 的直接表现，这往往是导致重启的前因。
根据症状分析，您的问题可能属于以下故障之一，请确认：
① **虚拟机-033 虚拟机异常HA**
   判断依据：客户描述“自动重启”，通常指平台检测到虚拟机“无响应”后触发了高可用（HA）重建或重启动作，这是异常 HA 的典型特征，概率估计 ~70%
② **虚拟机-039 虚拟机卡死无响应**
   判断依据：客户描述“无响应”，表明虚拟机在重启前处于假死或挂起状态，可能是由于底层存储/网络瓶颈或内部操作系统崩溃导致，概率估计 ~20%
③ 以上都不是（请补充症状描述）
请回复 ① ② 或 ③ 完成确认。</t>
        </is>
      </c>
    </row>
    <row r="556">
      <c r="A556" t="inlineStr">
        <is>
          <t>Q2026012601842</t>
        </is>
      </c>
      <c r="B556" t="inlineStr">
        <is>
          <t>HCI</t>
        </is>
      </c>
      <c r="C556" t="inlineStr">
        <is>
          <t>HCI6.10.0_R2</t>
        </is>
      </c>
      <c r="D556" t="inlineStr">
        <is>
          <t>物理机迁移到EDS存储上开不了机，黑屏，当前还在窗口期</t>
        </is>
      </c>
      <c r="E556" t="inlineStr">
        <is>
          <t>虚拟机</t>
        </is>
      </c>
      <c r="F556" t="inlineStr">
        <is>
          <t>虚拟机开关机</t>
        </is>
      </c>
      <c r="G556" t="inlineStr">
        <is>
          <t>根据 [客户描述“迁移到EDS存储后无法开机且黑屏”]，核心特征为虚拟机电源操作异常及显示输出异常，您的问题可能属于以下故障之一，请确认：
① 虚拟机-003 虚拟机开机失败
   判断依据：用户明确描述“开不了机”，指代虚拟机启动任务执行失败或无法完成状态切换，概率估计 ~70%
② 虚拟机-041 虚拟机内部黑屏
   判断依据：用户描述症状包含“黑屏”，可能是开机任务成功下发但系统引导失败或显示协议异常，概率估计 ~25%
③ 以上都不是（请补充症状描述）
请回复 ① ② 或 ③ 完成确认。</t>
        </is>
      </c>
    </row>
    <row r="557">
      <c r="A557" t="inlineStr">
        <is>
          <t>Q2026012601757</t>
        </is>
      </c>
      <c r="B557" t="inlineStr">
        <is>
          <t>HCI</t>
        </is>
      </c>
      <c r="C557" t="inlineStr">
        <is>
          <t>6.10.0_R2</t>
        </is>
      </c>
      <c r="D557" t="inlineStr">
        <is>
          <t>HCI 模版派生的虚拟机重启后密码错误</t>
        </is>
      </c>
      <c r="E557" t="inlineStr">
        <is>
          <t>虚拟机</t>
        </is>
      </c>
      <c r="F557" t="inlineStr">
        <is>
          <t>虚拟机开关机</t>
        </is>
      </c>
      <c r="G557" t="inlineStr">
        <is>
          <t>根据客户描述“模版派生的虚拟机重启后密码错误”，该问题主要涉及虚拟机实例的访问权限或模板定制化过程异常。核心关键词为“密码错误”，通常归类于密码重置或管理场景；同时因提及“模版派生”，需考虑定制化环节失败的可能性。
根据分类基准，匹配如下：
① **虚拟机-045 虚拟机密码重置**
   判断依据：客户明确反馈“密码错误”，无法登录虚拟机，属于典型的密码管理/重置需求场景，概率估计 ~60%
② **虚拟机-012 虚拟机模版派生失败**
   判断依据：问题发生于“模版派生”动作之后，可能因定制化工具（如 sysprep/cloud-init）执行异常导致预设密码未生效，概率估计 ~35%
③ 以上都不是（请补充症状描述）
请回复 ① ② 或 ③ 完成确认。</t>
        </is>
      </c>
    </row>
    <row r="558">
      <c r="A558" t="inlineStr">
        <is>
          <t>Q2026012601348</t>
        </is>
      </c>
      <c r="B558" t="inlineStr">
        <is>
          <t>HCI</t>
        </is>
      </c>
      <c r="C558" t="inlineStr">
        <is>
          <t>6.3.0R1</t>
        </is>
      </c>
      <c r="D558" t="inlineStr">
        <is>
          <t>虚拟存储满了，删除了部分备份，虚拟机开机失败，报内部错误</t>
        </is>
      </c>
      <c r="E558" t="inlineStr">
        <is>
          <t>虚拟机</t>
        </is>
      </c>
      <c r="F558" t="inlineStr">
        <is>
          <t>虚拟机开关机</t>
        </is>
      </c>
      <c r="G558" t="inlineStr">
        <is>
          <t>根据您的描述“虚拟存储满了，删除了部分备份，虚拟机开机失败，报内部错误”，问题集中在虚拟机启动环节，且明确关联存储容量状态。请确认以下分类：
① 虚拟机-003 虚拟机开机失败
   判断依据：用户明确描述“虚拟机开机失败”，且伴随“报内部错误”，概率估计 ~60%
② 存储-018 虚拟存储空间不足或满或高
   判断依据：用户指出根本原因为“虚拟存储满了”，虽已删除备份，但空间可能仍未释放或达高水位线导致开机受阻，概率估计 ~35%
③ 以上都不是（请补充症状描述）
请回复 ① ② 或 ③ 完成确认。</t>
        </is>
      </c>
    </row>
    <row r="559">
      <c r="A559" t="inlineStr">
        <is>
          <t>Q2026012601337</t>
        </is>
      </c>
      <c r="B559" t="inlineStr">
        <is>
          <t>HCI</t>
        </is>
      </c>
      <c r="C559" t="inlineStr">
        <is>
          <t>6.8.0_R1</t>
        </is>
      </c>
      <c r="D559" t="inlineStr">
        <is>
          <t>剩余可配置内存42G，反馈配置32G虚拟机无法开机提示内存不足，需要协助处理</t>
        </is>
      </c>
      <c r="E559" t="inlineStr">
        <is>
          <t>虚拟机</t>
        </is>
      </c>
      <c r="F559" t="inlineStr">
        <is>
          <t>虚拟机开关机</t>
        </is>
      </c>
      <c r="G559" t="inlineStr">
        <is>
          <t>根据客户描述“剩余可配置内存42G，反馈配置32G虚拟机无法开机提示内存不足”，您的问题可能属于以下故障之一，请确认：
① 虚拟机-003 虚拟机开机失败
   判断依据：用户明确反馈虚拟机执行“开机”操作失败，并提示“内存不足”，符合虚拟机开机失败的定义，概率估计 ~95%
② 以上都不是（请补充症状描述）
请回复 ① 或 ② 完成确认。</t>
        </is>
      </c>
    </row>
    <row r="560">
      <c r="A560" t="inlineStr">
        <is>
          <t>Q2026012601087</t>
        </is>
      </c>
      <c r="B560" t="inlineStr">
        <is>
          <t>HCI</t>
        </is>
      </c>
      <c r="C560" t="inlineStr">
        <is>
          <t>HCI6.10.0_R1</t>
        </is>
      </c>
      <c r="D560" t="inlineStr">
        <is>
          <t>大批量桌面云虚拟机登录报错：虚拟开机失败，vtp请求超时</t>
        </is>
      </c>
      <c r="E560" t="inlineStr">
        <is>
          <t>虚拟机</t>
        </is>
      </c>
      <c r="F560" t="inlineStr">
        <is>
          <t>虚拟机开关机</t>
        </is>
      </c>
      <c r="G560" t="inlineStr">
        <is>
          <t>根据客户描述中明确的“虚拟开机失败”字样及报错“vtp请求超时”，问题核心定位于虚拟机生命周期管理中的启动环节。
① 虚拟机-003 虚拟机开机失败
   判断依据：客户描述“虚拟开机失败”直接命中该分类定义；报错“vtp请求超时”表明虚拟机启动请求在平台服务层处理超时，属于典型的开机失败故障模式，概率估计 ~98%
③ 以上都不是（请补充症状描述）
请回复 ① 或 ③ 完成确认。</t>
        </is>
      </c>
    </row>
    <row r="561">
      <c r="A561" t="inlineStr">
        <is>
          <t>Q2026012601053</t>
        </is>
      </c>
      <c r="B561" t="inlineStr">
        <is>
          <t>HCI</t>
        </is>
      </c>
      <c r="C561" t="inlineStr">
        <is>
          <t>6.10.0_R2</t>
        </is>
      </c>
      <c r="D561" t="inlineStr">
        <is>
          <t>windows Server虚拟机打了系统补丁包后反馈进不去系统，HCI告警也有异常</t>
        </is>
      </c>
      <c r="E561" t="inlineStr">
        <is>
          <t>虚拟机</t>
        </is>
      </c>
      <c r="F561" t="inlineStr">
        <is>
          <t>虚拟机开关机</t>
        </is>
      </c>
      <c r="G561" t="inlineStr">
        <is>
          <t>根据 [Windows 虚拟机打补丁后无法进入系统] 的典型故障特征，您的问题可能属于以下故障之一，请确认：
① 虚拟机-042 虚拟机内部蓝屏
   判断依据：[Windows Server 安装系统补丁后无法启动]，此类场景最常见的故障现象为系统蓝屏（BSOD），概率估计 ~70%
② 虚拟机-041 虚拟机内部黑屏
   判断依据：[无法进入系统] 也可能表现为黑屏无输出，可能是补丁导致显示驱动异常或系统挂起，概率估计 ~20%
③ 以上都不是（请补充症状描述）
请回复 ① ② 或 ③ 完成确认。</t>
        </is>
      </c>
    </row>
    <row r="562">
      <c r="A562" t="inlineStr">
        <is>
          <t>Q2026012600858</t>
        </is>
      </c>
      <c r="B562" t="inlineStr">
        <is>
          <t>HCI</t>
        </is>
      </c>
      <c r="C562" t="inlineStr">
        <is>
          <t>6.10.0R2</t>
        </is>
      </c>
      <c r="D562" t="inlineStr">
        <is>
          <t>物理机故障无法开机，所有虚拟机无法开机</t>
        </is>
      </c>
      <c r="E562" t="inlineStr">
        <is>
          <t>虚拟机</t>
        </is>
      </c>
      <c r="F562" t="inlineStr">
        <is>
          <t>虚拟机开关机</t>
        </is>
      </c>
      <c r="G562" t="inlineStr">
        <is>
          <t>根据您的描述“物理机故障无法开机”，该问题直接导致宿主机不可用，进而引发“所有虚拟机无法开机”的连锁反应。优先排查物理机硬件状态。
您的问题可能属于以下故障之一，请确认：
① **硬件-042 盒子开机失败**
   判断依据：客户描述“物理机故障无法开机”，直接指向硬件层面的电源、主板或启动问题，概率估计 ~80%
② **平台-005 主机离线或异常重启**
   判断依据：若物理机已通电但无法进入系统或集群显示主机离线，也会导致虚拟机无法在当前主机运行，概率估计 ~15%
③ 以上都不是（请补充症状描述）
请回复 ① ② 或 ③ 完成确认。</t>
        </is>
      </c>
    </row>
    <row r="563">
      <c r="A563" t="inlineStr">
        <is>
          <t>Q2026012600792</t>
        </is>
      </c>
      <c r="B563" t="inlineStr">
        <is>
          <t>HCI</t>
        </is>
      </c>
      <c r="C563" t="inlineStr"/>
      <c r="D563" t="inlineStr">
        <is>
          <t>测试环境，调整了网络后有部分虚拟机无法开机</t>
        </is>
      </c>
      <c r="E563" t="inlineStr">
        <is>
          <t>虚拟机</t>
        </is>
      </c>
      <c r="F563" t="inlineStr">
        <is>
          <t>虚拟机开关机</t>
        </is>
      </c>
      <c r="G563" t="inlineStr">
        <is>
          <t>根据您的描述“调整了网络后有部分虚拟机无法开机”，故障现象清晰，问题可能属于：
① 虚拟机-003 虚拟机开机失败
   判断依据：客户描述明确指出“有部分虚拟机无法开机”，直接对应虚拟机启动操作失败的场景。虽然前置操作涉及网络调整（可能是诱因），但故障表象核心为虚拟机生命周期管理异常，概率估计 ~95%
③ 以上都不是（请补充症状描述）
请回复 ① 或 ③ 完成确认。</t>
        </is>
      </c>
    </row>
    <row r="564">
      <c r="A564" t="inlineStr">
        <is>
          <t>Q2026012600387</t>
        </is>
      </c>
      <c r="B564" t="inlineStr">
        <is>
          <t>HCI</t>
        </is>
      </c>
      <c r="C564" t="inlineStr">
        <is>
          <t>6.3.0_R1</t>
        </is>
      </c>
      <c r="D564" t="inlineStr">
        <is>
          <t>虚拟机无法开机，影响非核心业务</t>
        </is>
      </c>
      <c r="E564" t="inlineStr">
        <is>
          <t>虚拟机</t>
        </is>
      </c>
      <c r="F564" t="inlineStr">
        <is>
          <t>虚拟机开关机</t>
        </is>
      </c>
      <c r="G564" t="inlineStr">
        <is>
          <t>根据客户描述“虚拟机无法开机”，您的问题可能属于以下故障之一，请确认：
① 虚拟机-003 虚拟机开机失败
   判断依据：客户明确描述“虚拟机无法开机”，直接对应开机失败场景，概率估计 ~95%
③ 以上都不是（请补充症状描述）
请回复 ① 或 ③ 完成确认。</t>
        </is>
      </c>
    </row>
    <row r="565">
      <c r="A565" t="inlineStr">
        <is>
          <t>Q2026012600181</t>
        </is>
      </c>
      <c r="B565" t="inlineStr">
        <is>
          <t>HCI</t>
        </is>
      </c>
      <c r="C565" t="inlineStr">
        <is>
          <t>6.0.0_R5</t>
        </is>
      </c>
      <c r="D565" t="inlineStr">
        <is>
          <t>虚拟机开机进不去系统，需要协助看一下</t>
        </is>
      </c>
      <c r="E565" t="inlineStr">
        <is>
          <t>虚拟机</t>
        </is>
      </c>
      <c r="F565" t="inlineStr">
        <is>
          <t>虚拟机开关机</t>
        </is>
      </c>
      <c r="G565" t="inlineStr">
        <is>
          <t>根据 [客户描述“虚拟机开机进不去系统”]，核心现象为虚拟机启动受阻。这可能涉及平台层的开机任务失败，也可能是运行层的显示异常（如黑屏）。
① 虚拟机-003 虚拟机开机失败
   判断依据：客户描述“开机...进不去”，首先需排查开机任务是否因资源不足、存储断连或授权问题导致在平台层面直接失败。概率估计 ~60%
② 虚拟机-041 虚拟机内部黑屏
   判断依据：若开机任务显示成功，但控制台无显示，“进不去系统”常表现为虚拟机内部黑屏。概率估计 ~30%
③ 以上都不是（请补充症状描述）
请回复 ① ② 或 ③ 完成确认。</t>
        </is>
      </c>
    </row>
    <row r="566">
      <c r="A566" t="inlineStr">
        <is>
          <t>Q2026012600027</t>
        </is>
      </c>
      <c r="B566" t="inlineStr">
        <is>
          <t>HCI</t>
        </is>
      </c>
      <c r="C566" t="inlineStr">
        <is>
          <t>HCI6.7.0_R2</t>
        </is>
      </c>
      <c r="D566" t="inlineStr">
        <is>
          <t>园区断电，断电前关闭虚拟机和主机了，恢复电后部分虚拟机进入紧急模式</t>
        </is>
      </c>
      <c r="E566" t="inlineStr">
        <is>
          <t>虚拟机</t>
        </is>
      </c>
      <c r="F566" t="inlineStr">
        <is>
          <t>虚拟机开关机</t>
        </is>
      </c>
      <c r="G566" t="inlineStr">
        <is>
          <t>根据您提供的“断电恢复后虚拟机进入紧急模式”这一关键特征，初步判断主要原因为文件系统受损。请确认以下分类：
① 虚拟机-044 虚拟机内部空间或文件系统异常
   判断依据：客户描述“虚拟机进入紧急模式”，该现象通常为 Linux 虚拟机因断电导致文件系统损坏或日志不一致，系统启动时进入 emergency mode 维护模式，概率估计 ~85%
② 虚拟机-003 虚拟机开机失败
   判断依据：虚拟机无法正常引导进入业务系统，处于不可用状态，广义上属于开机过程异常，概率估计 ~10%
③ 以上都不是（请补充症状描述）
请回复 ① ② 或 ③ 完成确认。</t>
        </is>
      </c>
    </row>
    <row r="567">
      <c r="A567" t="inlineStr">
        <is>
          <t>Q2026012600010</t>
        </is>
      </c>
      <c r="B567" t="inlineStr">
        <is>
          <t>HCI</t>
        </is>
      </c>
      <c r="C567" t="inlineStr"/>
      <c r="D567" t="inlineStr">
        <is>
          <t>现在虚拟机关机了，需要查询虚拟机之前运行了多久</t>
        </is>
      </c>
      <c r="E567" t="inlineStr">
        <is>
          <t>虚拟机</t>
        </is>
      </c>
      <c r="F567" t="inlineStr">
        <is>
          <t>虚拟机开关机</t>
        </is>
      </c>
      <c r="G567" t="inlineStr">
        <is>
          <t>根据 [用户诉求为查询已关机虚拟机的历史运行时长]，您的问题可能属于以下故障之一，请确认：
① 虚拟机-L1 虚拟机
   判断依据：用户需求涉及虚拟机生命周期状态（运行时长）的查询，归属于虚拟机基础管理范畴，但非明确的故障报错。概率估计 ~40%
③ 以上都不是（请补充症状描述）
请回复 ① ② 或 ③ 完成确认。</t>
        </is>
      </c>
    </row>
    <row r="568">
      <c r="A568" t="inlineStr">
        <is>
          <t>Q2026012600008</t>
        </is>
      </c>
      <c r="B568" t="inlineStr">
        <is>
          <t>HCI</t>
        </is>
      </c>
      <c r="C568" t="inlineStr">
        <is>
          <t>6.10.0_R1</t>
        </is>
      </c>
      <c r="D568" t="inlineStr">
        <is>
          <t>单台虚拟机无法启动，影响核心业务</t>
        </is>
      </c>
      <c r="E568" t="inlineStr">
        <is>
          <t>虚拟机</t>
        </is>
      </c>
      <c r="F568" t="inlineStr">
        <is>
          <t>虚拟机开关机</t>
        </is>
      </c>
      <c r="G568" t="inlineStr">
        <is>
          <t>根据您提供的“单台虚拟机无法启动”症状，您的问题可能属于以下故障分类，请确认：
① 虚拟机-003 虚拟机开机失败
   判断依据：用户描述“单台虚拟机无法启动”，直接对应虚拟机生命周期管理中的开机失败场景，概率估计 ~95%
③ 以上都不是（请补充症状描述）
请回复 ① 或 ③ 完成确认。</t>
        </is>
      </c>
    </row>
    <row r="569">
      <c r="A569" t="inlineStr">
        <is>
          <t>Q2026012500222</t>
        </is>
      </c>
      <c r="B569" t="inlineStr">
        <is>
          <t>HCI</t>
        </is>
      </c>
      <c r="C569" t="inlineStr">
        <is>
          <t>HCI6.3.0_R3</t>
        </is>
      </c>
      <c r="D569" t="inlineStr">
        <is>
          <t>HCI掉电后有部分虚拟机无法开机</t>
        </is>
      </c>
      <c r="E569" t="inlineStr">
        <is>
          <t>虚拟机</t>
        </is>
      </c>
      <c r="F569" t="inlineStr">
        <is>
          <t>虚拟机开关机</t>
        </is>
      </c>
      <c r="G569" t="inlineStr">
        <is>
          <t>根据客户描述“HCI掉电后有部分虚拟机无法开机”，明确指向虚拟机生命周期管理中的启动环节异常，且场景为断电后的状态恢复问题。
您的问题可能属于以下故障之一，请确认：
① 虚拟机-003 虚拟机开机失败
   判断依据：用户明确描述“部分虚拟机无法开机”，核心症状为虚拟机启动失败，概率估计 ~90%
② 虚拟机-032 虚拟机HA不达预期
   判断依据：场景为“掉电后”，通常涉及集群恢复后虚拟机的高可用（HA）自动迁移或拉起失败，概率估计 ~10%
③ 以上都不是（请补充症状描述）
请回复 ① ② 或 ③ 完成确认。</t>
        </is>
      </c>
    </row>
    <row r="570">
      <c r="A570" t="inlineStr">
        <is>
          <t>Q2026012500017</t>
        </is>
      </c>
      <c r="B570" t="inlineStr">
        <is>
          <t>HCI</t>
        </is>
      </c>
      <c r="C570" t="inlineStr">
        <is>
          <t>6.0.0R4</t>
        </is>
      </c>
      <c r="D570" t="inlineStr">
        <is>
          <t>【服务升级】：服务商通过数字化服务平台发起服务升级，请尽快联系服务商处理！&lt;br&gt;【工单描述】：HCI虚拟存储过满导致虚拟机无法启动，之前扩容了eds能否挂在到eds？</t>
        </is>
      </c>
      <c r="E570" t="inlineStr">
        <is>
          <t>虚拟机</t>
        </is>
      </c>
      <c r="F570" t="inlineStr">
        <is>
          <t>虚拟机开关机</t>
        </is>
      </c>
      <c r="G570" t="inlineStr"/>
    </row>
    <row r="571">
      <c r="A571" t="inlineStr">
        <is>
          <t>Q2026012500006</t>
        </is>
      </c>
      <c r="B571" t="inlineStr">
        <is>
          <t>HCI</t>
        </is>
      </c>
      <c r="C571" t="inlineStr">
        <is>
          <t>HCI6.11.1</t>
        </is>
      </c>
      <c r="D571" t="inlineStr">
        <is>
          <t>HCI重启之后有一台linux进紧急模式</t>
        </is>
      </c>
      <c r="E571" t="inlineStr">
        <is>
          <t>虚拟机</t>
        </is>
      </c>
      <c r="F571" t="inlineStr">
        <is>
          <t>虚拟机开关机</t>
        </is>
      </c>
      <c r="G571" t="inlineStr">
        <is>
          <t>根据您提供的故障现象“HCI重启之后有一台linux进紧急模式”，分析如下：
**关键信息提取**：
*   **故障对象**：Linux 虚拟机。
*   **故障现象**：进入紧急模式。
*   **触发场景**：HCI 重启后。
**推理分析**：
Linux 虚拟机进入紧急模式通常是由于文件系统损坏（由非正常关机或存储断连导致）或关键挂载项失败引起。HCI 重启可能导致虚拟机非正常掉电，进而引发文件系统一致性检查失败进入紧急模式。该现象属于典型的虚拟机操作系统内部状态异常，直接对应“虚拟机内部空间或文件系统异常”分类。
**分类定位**：
命中分类基准中的 **虚拟机-044 虚拟机内部空间或文件系统异常**。
根据 [Linux虚拟机进入紧急模式的典型特征]，您的问题可能属于以下故障，请确认：
① 虚拟机-044 虚拟机内部空间或文件系统异常
   判断依据：客户描述“linux进紧急模式”，通常由文件系统损坏或挂载失败导致，概率估计 ~95%
③ 以上都不是（请补充症状描述）
请回复 ① 或 ③ 完成确认。</t>
        </is>
      </c>
    </row>
    <row r="572">
      <c r="A572" t="inlineStr">
        <is>
          <t>Q2026012400380</t>
        </is>
      </c>
      <c r="B572" t="inlineStr">
        <is>
          <t>HCI</t>
        </is>
      </c>
      <c r="C572" t="inlineStr"/>
      <c r="D572" t="inlineStr">
        <is>
          <t>VM虚拟机迁移到HCI后，虚拟机开不起来，怀疑是FSTAB问题</t>
        </is>
      </c>
      <c r="E572" t="inlineStr">
        <is>
          <t>虚拟机</t>
        </is>
      </c>
      <c r="F572" t="inlineStr">
        <is>
          <t>虚拟机开关机</t>
        </is>
      </c>
      <c r="G572" t="inlineStr">
        <is>
          <t>根据客户描述“虚拟机迁移后无法开机”及怀疑的“FSTAB问题”，分析如下：
1.  **核心现象提取**：客户明确指出虚拟机“开不起来”，这是一个明确的“开机失败”状态。同时提及发生在“VM虚拟机迁移到HCI后”这一特定场景。
2.  **关键实体与错误模式**：
    *   实体：虚拟机（Linux，由FSTAB推断）。
    *   错误模式：迁移后启动失败。FSTAB（文件系统挂载表）问题通常导致Linux系统在引导阶段因找不到磁盘或挂载参数错误而卡死或进入应急模式，在HCI平台侧通常表现为“开机失败”或控制台“黑屏/卡住”。
3.  **分类定位**：
    *   **首选分类**：**虚拟机-003 虚拟机开机失败**。这是对“开不起来”最直接的症状映射。无论底层原因是FSTAB配置错误、驱动不兼容还是UUID变更，在HCI平台视角下，首先表现为虚拟机开机任务执行失败。
    *   **次选分类**：**虚拟机-041 虚拟机内部黑屏**。FSTAB问题导致的典型症状是Linux引导过程中断，用户通过VNC/控制台查看时往往表现为黑屏、光标闪烁或卡在启动界面，这与“开不起来”的用户感知一致。
根据 [客户描述“虚拟机开不起来”及“FSTAB问题”导致的引导中断特征]，您的问题可能属于以下故障之一，请确认：
① 虚拟机-003 虚拟机开机失败
   判断依据：客户明确描述虚拟机“开不起来”，这是开机失败的最直接症状描述，概率估计 ~80%
② 虚拟机-041 虚拟机内部黑屏
   判断依据：FSTAB（文件挂载表）错误通常导致Linux系统引导过程卡死或进入应急模式，在控制台视觉上常表现为黑屏或无响应，概率估计 ~15%
③ 以上都不是（请补充症状描述）
请回复 ① ② 或 ③ 完成确认。</t>
        </is>
      </c>
    </row>
    <row r="573">
      <c r="A573" t="inlineStr">
        <is>
          <t>Q2026012400134</t>
        </is>
      </c>
      <c r="B573" t="inlineStr">
        <is>
          <t>HCI</t>
        </is>
      </c>
      <c r="C573" t="inlineStr">
        <is>
          <t>6.11.1R1</t>
        </is>
      </c>
      <c r="D573" t="inlineStr">
        <is>
          <t xml:space="preserve">虚拟机无法开机   </t>
        </is>
      </c>
      <c r="E573" t="inlineStr">
        <is>
          <t>虚拟机</t>
        </is>
      </c>
      <c r="F573" t="inlineStr">
        <is>
          <t>虚拟机开关机</t>
        </is>
      </c>
      <c r="G573" t="inlineStr">
        <is>
          <t>根据客户描述中明确提到的“虚拟机无法开机”这一核心故障现象，您的问题可能属于以下故障之一，请确认：
① 虚拟机-003 虚拟机开机失败
   判断依据：用户描述“虚拟机无法开机”直接对应虚拟机生命周期管理中的启动失败场景，概率估计 ~99%
③ 以上都不是（请补充症状描述）
请回复 ① 或 ③ 完成确认。</t>
        </is>
      </c>
    </row>
    <row r="574">
      <c r="A574" t="inlineStr">
        <is>
          <t>Q2026012400017</t>
        </is>
      </c>
      <c r="B574" t="inlineStr">
        <is>
          <t>HCI</t>
        </is>
      </c>
      <c r="C574" t="inlineStr">
        <is>
          <t>6.11.1</t>
        </is>
      </c>
      <c r="D574" t="inlineStr">
        <is>
          <t>升级后 核心业务虚拟机无法开机</t>
        </is>
      </c>
      <c r="E574" t="inlineStr">
        <is>
          <t>虚拟机</t>
        </is>
      </c>
      <c r="F574" t="inlineStr">
        <is>
          <t>虚拟机开关机</t>
        </is>
      </c>
      <c r="G574" t="inlineStr">
        <is>
          <t>根据您的描述“升级后 核心业务虚拟机无法开机”，核心故障现象明确指向虚拟机生命周期管理问题。
请确认以下故障分类：
① **虚拟机-003 虚拟机开机失败**
   判断依据：客户直接描述“虚拟机无法开机”，这是最核心的故障表象。升级操作可能是诱因（如驱动不兼容、授权变更、配置丢失），但当前需优先解决开机失败问题，概率估计 ~95%
② **平台-011 版本升级失败**
   判断依据：故障发生于“升级后”，若平台升级过程本身中断或异常导致环境不可用，也会引发虚拟机无法开机，概率估计 ~5%
③ 以上都不是（请补充症状描述）
请回复 ① ② 或 ③ 完成确认。</t>
        </is>
      </c>
    </row>
    <row r="575">
      <c r="A575" t="inlineStr">
        <is>
          <t>Q2026012400013</t>
        </is>
      </c>
      <c r="B575" t="inlineStr">
        <is>
          <t>HCI</t>
        </is>
      </c>
      <c r="C575" t="inlineStr">
        <is>
          <t>6.9.0</t>
        </is>
      </c>
      <c r="D575" t="inlineStr">
        <is>
          <t>一台虚拟机重启后起不来</t>
        </is>
      </c>
      <c r="E575" t="inlineStr">
        <is>
          <t>虚拟机</t>
        </is>
      </c>
      <c r="F575" t="inlineStr">
        <is>
          <t>虚拟机开关机</t>
        </is>
      </c>
      <c r="G575" t="inlineStr">
        <is>
          <t>根据 [客户描述虚拟机重启后无法正常启动的现象]，您的问题可能属于以下故障之一，请确认：
① 虚拟机-005 虚拟机重启失败
   判断依据：客户明确描述“重启后起不来”，直接对应虚拟机重启操作失败的场景，概率估计 ~95%
③ 以上都不是（请补充症状描述）
请回复 ① 或 ③ 完成确认。</t>
        </is>
      </c>
    </row>
    <row r="576">
      <c r="A576" t="inlineStr">
        <is>
          <t>Q2026012301688</t>
        </is>
      </c>
      <c r="B576" t="inlineStr">
        <is>
          <t>HCI</t>
        </is>
      </c>
      <c r="C576" t="inlineStr">
        <is>
          <t>6.10.0_R2</t>
        </is>
      </c>
      <c r="D576" t="inlineStr">
        <is>
          <t>虚拟机关机启动后进入救援模式</t>
        </is>
      </c>
      <c r="E576" t="inlineStr">
        <is>
          <t>虚拟机</t>
        </is>
      </c>
      <c r="F576" t="inlineStr">
        <is>
          <t>虚拟机开关机</t>
        </is>
      </c>
      <c r="G576" t="inlineStr">
        <is>
          <t>根据您提供的“虚拟机关机启动后进入救援模式”描述，该现象通常指虚拟机操作系统（Linux）在引导阶段因文件系统损坏或配置错误而进入紧急模式。这属于虚拟机内部操作系统层面的问题。
请确认以下故障分类：
① 虚拟机-044 虚拟机内部空间或文件系统异常
   判断依据：用户描述“进入救援模式”，通常由 Linux 系统文件系统损坏、fstab 配置错误或磁盘空间满导致无法正常引导，属于虚拟机内部文件系统或空间异常范畴。概率估计 ~85%
③ 以上都不是（请补充症状描述）
请回复 ① 或 ③ 完成确认。</t>
        </is>
      </c>
    </row>
    <row r="577">
      <c r="A577" t="inlineStr">
        <is>
          <t>Q2026012301371</t>
        </is>
      </c>
      <c r="B577" t="inlineStr">
        <is>
          <t>HCI</t>
        </is>
      </c>
      <c r="C577" t="inlineStr">
        <is>
          <t>6.11.1</t>
        </is>
      </c>
      <c r="D577" t="inlineStr">
        <is>
          <t>软件这边卸载JAVA  JDK后就无法进入系统了，协助处理，反馈做手术的服务器受到影响</t>
        </is>
      </c>
      <c r="E577" t="inlineStr">
        <is>
          <t>虚拟机</t>
        </is>
      </c>
      <c r="F577" t="inlineStr">
        <is>
          <t>虚拟机开关机</t>
        </is>
      </c>
      <c r="G577" t="inlineStr">
        <is>
          <t>根据您提供的信息，"卸载 JAVA JDK" 发生在 "做手术的服务器"（通常指正在执行底层维护或修复操作的物理主机）上，且导致 "无法进入系统"，这极有可能是误删了深信服 HCI 平台运行所依赖的 Java 环境，导致平台管理服务崩溃。
鉴于“无法进入系统”通常指无法登录 HCI 管理平台，故障分类意向如下：
① 平台-018 控制台登录失败
   判断依据：客户描述“卸载 JAVA JDK 后就无法进入系统”，HCI 管理控制台依赖 Java 环境，误卸载会导致 Web 服务无法启动，从而表现为登录失败，概率估计 ~70%
② 平台-005 主机离线或异常重启
   判断依据：发生在“做手术的服务器”上，若卸载操作影响了主机代理服务或核心进程，可能导致主机在集群中离线或状态异常，概率估计 ~25%
③ 以上都不是（请补充症状描述）
请回复 ① ② 或 ③ 完成确认。</t>
        </is>
      </c>
    </row>
    <row r="578">
      <c r="A578" t="inlineStr">
        <is>
          <t>Q2026012300938</t>
        </is>
      </c>
      <c r="B578" t="inlineStr">
        <is>
          <t>HCI</t>
        </is>
      </c>
      <c r="C578" t="inlineStr">
        <is>
          <t>6.11.1</t>
        </is>
      </c>
      <c r="D578" t="inlineStr">
        <is>
          <t>arm架构的hci  导入scp开机异常</t>
        </is>
      </c>
      <c r="E578" t="inlineStr">
        <is>
          <t>虚拟机</t>
        </is>
      </c>
      <c r="F578" t="inlineStr">
        <is>
          <t>虚拟机开关机</t>
        </is>
      </c>
      <c r="G578" t="inlineStr">
        <is>
          <t>根据客户描述“arm架构的hci 导入scp开机异常”，关键信息点为“导入scp（虚拟机文件导入）”和“开机异常”。
客户明确指出操作链路为“导入”后“开机”出现异常。在HCI故障定义中，“开机异常”指向虚拟机生命周期管理中的启动阶段故障；而“导入”通常视为虚拟机的来源或创建方式。若虚拟机已存在（即导入任务已完成）但无法启动，应归类为开机失败。结合“arm架构”背景，常见原因为导入的镜像架构不匹配（如x86镜像在arm平台启动）导致启动报错。
您的问题可能属于以下故障之一，请确认：
① 虚拟机-003 虚拟机开机失败
   判断依据：客户明确描述“开机异常”，且常见于ARM平台导入非ARM镜像导致启动失败，概率估计 ~90%
② 虚拟机-006 虚拟机导入失败
   判断依据：若“开机异常”是指在导入过程中（涉及后台自动配置或注册环节）报错，未能成功生成可用虚拟机，概率估计 ~10%
③ 以上都不是（请补充症状描述）
请回复 ① ② 或 ③ 完成确认。</t>
        </is>
      </c>
    </row>
    <row r="579">
      <c r="A579" t="inlineStr">
        <is>
          <t>Q2026012201420</t>
        </is>
      </c>
      <c r="B579" t="inlineStr">
        <is>
          <t>HCI</t>
        </is>
      </c>
      <c r="C579" t="inlineStr"/>
      <c r="D579" t="inlineStr">
        <is>
          <t>超融合有几台核心虚拟机挂了，影响业务，需要协助。</t>
        </is>
      </c>
      <c r="E579" t="inlineStr">
        <is>
          <t>虚拟机</t>
        </is>
      </c>
      <c r="F579" t="inlineStr">
        <is>
          <t>虚拟机开关机</t>
        </is>
      </c>
      <c r="G579" t="inlineStr">
        <is>
          <t>根据客户描述“核心虚拟机挂了”，这通常指业务中断，可能表现为虚拟机无响应或处于关机状态。您的问题可能属于以下故障之一，请确认：
① 虚拟机-039 虚拟机卡死无响应
   判断依据：描述中提到“虚拟机挂了”，且影响业务。若虚拟机在平台上显示为“运行中”但控制台无法连接、业务网络不通或操作无反应，则符合此分类。概率估计 ~60%
② 虚拟机-003 虚拟机开机失败
   判断依据：若虚拟机当前处于“关机”状态，且客户尝试启动虚拟机时报错或无法成功运行，则符合此分类。概率估计 ~30%
③ 以上都不是（请补充症状描述）
请回复 ① ② 或 ③ 完成确认。</t>
        </is>
      </c>
    </row>
    <row r="580">
      <c r="A580" t="inlineStr">
        <is>
          <t>Q2026012201359</t>
        </is>
      </c>
      <c r="B580" t="inlineStr">
        <is>
          <t>HCI</t>
        </is>
      </c>
      <c r="C580" t="inlineStr">
        <is>
          <t>6.10.0R2</t>
        </is>
      </c>
      <c r="D580" t="inlineStr">
        <is>
          <t>【服务升级】：服务商通过数字化服务平台发起服务升级，请尽快联系服务商处理！&lt;br&gt;【工单描述】：客户把虚拟机内存开的太大，虚拟机重启后显示离线状态</t>
        </is>
      </c>
      <c r="E580" t="inlineStr">
        <is>
          <t>虚拟机</t>
        </is>
      </c>
      <c r="F580" t="inlineStr">
        <is>
          <t>虚拟机开关机</t>
        </is>
      </c>
      <c r="G580" t="inlineStr">
        <is>
          <t>根据【客户描述：虚拟机重启后显示离线状态，且调整过内存配置】，您的问题可能属于以下故障之一，请确认：
① 虚拟机-005 虚拟机重启失败
   判断依据：用户描述“虚拟机重启后显示离线状态”，直接表明重启操作未能使虚拟机进入运行状态，概率估计 ~60%
② 虚拟机-003 虚拟机开机失败
   判断依据：客户提到“内存开的太大”，这通常会导致虚拟机在启动阶段因宿主机资源不足而失败（本质是开机过程被打断），概率估计 ~40%
③ 以上都不是（请补充症状描述）
请回复 ① ② 或 ③ 完成确认。</t>
        </is>
      </c>
    </row>
    <row r="581">
      <c r="A581" t="inlineStr">
        <is>
          <t>Q2026012201322</t>
        </is>
      </c>
      <c r="B581" t="inlineStr">
        <is>
          <t>HCI</t>
        </is>
      </c>
      <c r="C581" t="inlineStr"/>
      <c r="D581" t="inlineStr">
        <is>
          <t xml:space="preserve">1、迁移到超融合上的的虚拟机重启的时候很慢；
</t>
        </is>
      </c>
      <c r="E581" t="inlineStr">
        <is>
          <t>虚拟机</t>
        </is>
      </c>
      <c r="F581" t="inlineStr">
        <is>
          <t>虚拟机开关机</t>
        </is>
      </c>
      <c r="G581" t="inlineStr">
        <is>
          <t>根据您提供的描述“迁移到超融合上的虚拟机重启的时候很慢”，这属于虚拟机运行性能问题。由于重启过程涉及操作系统加载和大量IO读写，可能是整体性能问题或特定IO瓶颈，请确认以下分类：
① 虚拟机-036 虚拟机整体卡慢
   判断依据：用户描述“重启的时候很慢”，属于虚拟机运行阶段的整体响应缓慢场景，概率估计 ~60%
② 虚拟机-038 虚拟机IO读写慢
   判断依据：虚拟机重启过程对磁盘IO敏感，迁移后的环境常因存储配置或性能差异导致IO瓶颈，进而表现为重启缓慢，概率估计 ~35%
③ 以上都不是（请补充症状描述）
请回复 ① ② 或 ③ 完成确认。</t>
        </is>
      </c>
    </row>
    <row r="582">
      <c r="A582" t="inlineStr">
        <is>
          <t>Q2026012201161</t>
        </is>
      </c>
      <c r="B582" t="inlineStr">
        <is>
          <t>HCI</t>
        </is>
      </c>
      <c r="C582" t="inlineStr">
        <is>
          <t>HCI6.11.1_R1</t>
        </is>
      </c>
      <c r="D582" t="inlineStr">
        <is>
          <t>vm虚拟机迁移到hci后进不了系统</t>
        </is>
      </c>
      <c r="E582" t="inlineStr">
        <is>
          <t>虚拟机</t>
        </is>
      </c>
      <c r="F582" t="inlineStr">
        <is>
          <t>虚拟机开关机</t>
        </is>
      </c>
      <c r="G582" t="inlineStr">
        <is>
          <t>根据客户描述中明确的“vm虚拟机迁移”动作以及“进不了系统”的故障现象，这属于典型的跨平台迁移后兼容性或启动问题。
分析如下：
1.  **关键实体识别**：源端为“vm虚拟机”（VMware环境），动作为“迁移到hci”，结果为“进不了系统”。
2.  **错误模式匹配**：VMware 迁移至 HCI 后无法进入系统，通常由驱动不兼容（如磁盘控制器、网卡驱动）、引导模式（BIOS/UEFI）不匹配或启动项丢失导致。这直接关联到 VMware 迁移任务。
根据 [关键词“vm虚拟机迁移”与“进不了系统”的强关联]，您的问题可能属于以下故障之一，请确认：
① 虚拟机-021 虚拟机vmware纳管迁移失败
   判断依据：客户明确描述“vm虚拟机迁移到hci”，迁移后无法进入系统属于迁移结果失败或迁移后适配问题，概率估计 ~70%
② 虚拟机-042 虚拟机内部蓝屏
   判断依据：VMware 迁移后因驱动冲突导致系统蓝屏是“进不了系统”的常见具体表现，概率估计 ~20%
③ 以上都不是（请补充症状描述）
请回复 ① ② 或 ③ 完成确认。</t>
        </is>
      </c>
    </row>
    <row r="583">
      <c r="A583" t="inlineStr">
        <is>
          <t>Q2026012200860</t>
        </is>
      </c>
      <c r="B583" t="inlineStr">
        <is>
          <t>HCI</t>
        </is>
      </c>
      <c r="C583" t="inlineStr">
        <is>
          <t>HCI6.8.0_R2</t>
        </is>
      </c>
      <c r="D583" t="inlineStr">
        <is>
          <t>单台数据库虚拟机任务卡死 无法开机</t>
        </is>
      </c>
      <c r="E583" t="inlineStr">
        <is>
          <t>虚拟机</t>
        </is>
      </c>
      <c r="F583" t="inlineStr">
        <is>
          <t>虚拟机开关机</t>
        </is>
      </c>
      <c r="G583" t="inlineStr">
        <is>
          <t>根据您提供的“单台数据库虚拟机任务卡死 无法开机”描述，核心故障现象为虚拟机生命周期管理中的启动操作受阻，符合虚拟机开机失败特征。
请确认以下分类：
① **虚拟机-003 虚拟机开机失败**
   判断依据：客户明确描述“无法开机”，且伴随“任务卡死”现象，指向虚拟机启动流程中任务阻塞或执行错误。概率估计 ~95%
③ 以上都不是（请补充症状描述）
请回复 ① 或 ③ 完成确认。</t>
        </is>
      </c>
    </row>
    <row r="584">
      <c r="A584" t="inlineStr">
        <is>
          <t>Q2026012200561</t>
        </is>
      </c>
      <c r="B584" t="inlineStr">
        <is>
          <t>HCI</t>
        </is>
      </c>
      <c r="C584" t="inlineStr">
        <is>
          <t>6.10.0</t>
        </is>
      </c>
      <c r="D584" t="inlineStr">
        <is>
          <t>巡检有多个告警  存储快照导致虚拟机开机失败检测
异常</t>
        </is>
      </c>
      <c r="E584" t="inlineStr">
        <is>
          <t>虚拟机</t>
        </is>
      </c>
      <c r="F584" t="inlineStr">
        <is>
          <t>虚拟机开关机</t>
        </is>
      </c>
      <c r="G584" t="inlineStr">
        <is>
          <t>根据您的描述“巡检有多个告警 存储快照导致虚拟机开机失败检测异常”，核心关键词为“虚拟机开机失败”，判断依据如下：
① 虚拟机-003 虚拟机开机失败
   判断依据：客户描述明确指出“虚拟机开机失败”，虽然提到了“存储快照”作为诱因，但故障表现主体为虚拟机无法启动，符合该分类定义，概率估计 ~95%
③ 以上都不是（请补充症状描述）
请回复 ① 或 ③ 完成确认。</t>
        </is>
      </c>
    </row>
    <row r="585">
      <c r="A585" t="inlineStr">
        <is>
          <t>Q2026012200180</t>
        </is>
      </c>
      <c r="B585" t="inlineStr">
        <is>
          <t>HCI</t>
        </is>
      </c>
      <c r="C585" t="inlineStr">
        <is>
          <t>6.10.0</t>
        </is>
      </c>
      <c r="D585" t="inlineStr">
        <is>
          <t>虚拟机运行出现：ERROR:Wrong Bin File Size: 58 (should be 29)
无法开机 需要协助恢复
无远程不在现场 影响部分业务</t>
        </is>
      </c>
      <c r="E585" t="inlineStr">
        <is>
          <t>虚拟机</t>
        </is>
      </c>
      <c r="F585" t="inlineStr">
        <is>
          <t>虚拟机开关机</t>
        </is>
      </c>
      <c r="G585" t="inlineStr">
        <is>
          <t>根据用户描述“无法开机”及明确的报错信息“ERROR:Wrong Bin File Size...”，该问题直接指向虚拟机启动过程中的异常阻断。
您的问题可能属于以下故障之一，请确认：
① **虚拟机-003 虚拟机开机失败**
   判断依据：用户明确描述虚拟机“无法开机”，且提供了具体的错误日志“ERROR:Wrong Bin File Size: 58 (should be 29)”，该错误直接导致虚拟机启动流程被阻断，概率估计 ~95%。
③ 以上都不是（请补充症状描述）
请回复 ① 或 ③ 完成确认。</t>
        </is>
      </c>
    </row>
    <row r="586">
      <c r="A586" t="inlineStr">
        <is>
          <t>Q2026012101300</t>
        </is>
      </c>
      <c r="B586" t="inlineStr">
        <is>
          <t>HCI</t>
        </is>
      </c>
      <c r="C586" t="inlineStr"/>
      <c r="D586" t="inlineStr">
        <is>
          <t>虚拟机开机失败</t>
        </is>
      </c>
      <c r="E586" t="inlineStr">
        <is>
          <t>虚拟机</t>
        </is>
      </c>
      <c r="F586" t="inlineStr">
        <is>
          <t>虚拟机开关机</t>
        </is>
      </c>
      <c r="G586" t="inlineStr">
        <is>
          <t>根据客户描述“虚拟机开机失败”，您的问题可能属于以下故障之一，请确认：
① 虚拟机-003 虚拟机开机失败
   判断依据：客户描述与该分类名称完全一致，直接对应虚拟机生命周期管理中的启动环节故障，概率估计 ~99%
③ 以上都不是（请补充症状描述）
请回复 ① 或 ③ 完成确认。</t>
        </is>
      </c>
    </row>
    <row r="587">
      <c r="A587" t="inlineStr">
        <is>
          <t>Q2026012100838</t>
        </is>
      </c>
      <c r="B587" t="inlineStr">
        <is>
          <t>HCI</t>
        </is>
      </c>
      <c r="C587" t="inlineStr"/>
      <c r="D587" t="inlineStr">
        <is>
          <t>核心业务系统，windows 2008  上午重启了一次，现在业务正常     有dump日志，需要支持分析
PS：需要尽快分析，担心再次重启影响业务</t>
        </is>
      </c>
      <c r="E587" t="inlineStr">
        <is>
          <t>虚拟机</t>
        </is>
      </c>
      <c r="F587" t="inlineStr">
        <is>
          <t>虚拟机开关机</t>
        </is>
      </c>
      <c r="G587" t="inlineStr">
        <is>
          <t>根据客户描述“Windows 2008 上午重启了一次”且“有dump日志”，通常表明操作系统内核发生了崩溃并触发了重启，而非外部断电或HA触发（断电通常无法生成dump日志）。这种情况在HCI排障中归类为虚拟机内部系统崩溃问题。
您的问题可能属于以下故障之一，请确认：
① 虚拟机-042 虚拟机内部蓝屏
   判断依据：客户提到虚拟机发生过非预期重启，且存在dump日志，高度符合Windows系统内核崩溃（BSOD）的特征，概率估计 ~95%
③ 以上都不是（请补充症状描述）
请回复 ① 或 ③ 完成确认。</t>
        </is>
      </c>
    </row>
    <row r="588">
      <c r="A588" t="inlineStr">
        <is>
          <t>Q2026012100821</t>
        </is>
      </c>
      <c r="B588" t="inlineStr">
        <is>
          <t>HCI</t>
        </is>
      </c>
      <c r="C588" t="inlineStr">
        <is>
          <t>6.7.0_R2</t>
        </is>
      </c>
      <c r="D588" t="inlineStr">
        <is>
          <t>核心业务系统虚拟机无法开机 ，提示虚拟机镜像正在忙 正在进行其他操作 ，IO读写异常</t>
        </is>
      </c>
      <c r="E588" t="inlineStr">
        <is>
          <t>虚拟机</t>
        </is>
      </c>
      <c r="F588" t="inlineStr">
        <is>
          <t>虚拟机开关机</t>
        </is>
      </c>
      <c r="G588" t="inlineStr">
        <is>
          <t>根据您提供的故障现象，核心关键词为“无法开机”及报错“虚拟机镜像正在忙/正在进行其他操作”，这直接指向虚拟机生命周期管理中的启动环节受阻。
您的问题可能属于以下故障之一，请确认：
① **虚拟机-003 虚拟机开机失败**
   判断依据：客户描述明确指出“核心业务系统虚拟机无法开机”，且提示“虚拟机镜像正在忙”或“正在进行其他操作”，这是典型的开机任务执行失败表现，通常涉及镜像锁冲突或后台任务占用，概率估计 ~95%
② **存储-020 虚拟存储性能告警**
   判断依据：客户提及“IO读写异常”，若存储底层IO阻塞严重，可能导致虚拟机镜像锁释放缓慢或任务超时，进而引发镜像忙和开机失败，概率估计 ~40%
③ 以上都不是（请补充症状描述）
请回复 ① ② 或 ③ 完成确认。</t>
        </is>
      </c>
    </row>
    <row r="589">
      <c r="A589" t="inlineStr">
        <is>
          <t>Q2026012001787</t>
        </is>
      </c>
      <c r="B589" t="inlineStr">
        <is>
          <t>HCI</t>
        </is>
      </c>
      <c r="C589" t="inlineStr">
        <is>
          <t>HCI6.8.0_R1</t>
        </is>
      </c>
      <c r="D589">
        <f>===海外工单信息====
    海外工单ID：20260116860038
    事件等级：Priority2
    产品线：HCI::6.8.0_R1
====客户信息====
    客户ID：40
    客户MDM ID：null
    客户名称：Peritech
    客户区域：Malaysia
    客户类型：
====工单信息====
设备部署模式：
客户背景： 马来西亚政府机构
问题现象： 虚拟机MYJBGM无法找到根分区，进不去系统
排查过程：
1.debain系统，在当前模式尝试输入lsblk查看没有这些命令，
2）使用iso进入救援模式，参考百度方法修复，没修复成功
3）客户反馈之前使用备份恢复，恢复的也有问题  
4）问题研发协助并且已恢复
重要备注：目前无风险，已恢复
是否已开群（企微）：是
企微群名：【MBPG】【虚拟机启动问题】</f>
        <v/>
      </c>
      <c r="E589" t="inlineStr">
        <is>
          <t>虚拟机</t>
        </is>
      </c>
      <c r="F589" t="inlineStr">
        <is>
          <t>虚拟机开关机</t>
        </is>
      </c>
      <c r="G589" t="inlineStr">
        <is>
          <t>根据当前工单信息，客户描述为“nan”（空值），且未提供告警日志或任务日志，无法提取有效特征进行故障分类定位。
① 以上都不是（输入信息无效）
   判断依据：客户描述为空，无告警日志，无任务日志，无法匹配故障分类基准。
请回复 ① 或提供具体的故障现象、告警信息。</t>
        </is>
      </c>
    </row>
    <row r="590">
      <c r="A590" t="inlineStr">
        <is>
          <t>Q2026012001375</t>
        </is>
      </c>
      <c r="B590" t="inlineStr">
        <is>
          <t>HCI</t>
        </is>
      </c>
      <c r="C590" t="inlineStr">
        <is>
          <t>5.8.6</t>
        </is>
      </c>
      <c r="D590" t="inlineStr">
        <is>
          <t>虚拟机重启状态  一直再这状态强制关机也不行</t>
        </is>
      </c>
      <c r="E590" t="inlineStr">
        <is>
          <t>虚拟机</t>
        </is>
      </c>
      <c r="F590" t="inlineStr">
        <is>
          <t>虚拟机开关机</t>
        </is>
      </c>
      <c r="G590" t="inlineStr">
        <is>
          <t>根据客户描述“虚拟机重启状态 一直再这状态强制关机也不行”，您的问题可能属于以下故障之一，请确认：
① 虚拟机-005 虚拟机重启失败
   判断依据：客户明确描述虚拟机处于“重启状态”且“一直在这状态”，表明虚拟机在执行重启操作过程中卡死或未完成，概率估计 ~70%
② 虚拟机-039 虚拟机卡死无响应
   判断依据：客户描述“强制关机也不行”，表明虚拟机对管理平台的控制指令（关机）无响应，处于无法管理的卡死状态，概率估计 ~25%
③ 以上都不是（请补充症状描述）
请回复 ① ② 或 ③ 完成确认。</t>
        </is>
      </c>
    </row>
    <row r="591">
      <c r="A591" t="inlineStr">
        <is>
          <t>Q2026012001359</t>
        </is>
      </c>
      <c r="B591" t="inlineStr">
        <is>
          <t>HCI</t>
        </is>
      </c>
      <c r="C591" t="inlineStr">
        <is>
          <t>HCI6.11.1</t>
        </is>
      </c>
      <c r="D591" t="inlineStr">
        <is>
          <t>虚拟机内部重启  查原因</t>
        </is>
      </c>
      <c r="E591" t="inlineStr">
        <is>
          <t>虚拟机</t>
        </is>
      </c>
      <c r="F591" t="inlineStr">
        <is>
          <t>虚拟机开关机</t>
        </is>
      </c>
      <c r="G591" t="inlineStr">
        <is>
          <t>根据用户描述的“虚拟机内部重启”现象，这通常是虚拟机非预期重置的表现。在HCI环境中，主要原因通常集中在客机操作系统崩溃（如蓝屏/内核恐慌）或平台高可用机制触发。以下是针对该故障的意向分类确认：
① 虚拟机-042 虚拟机内部蓝屏
   判断依据：用户反馈“虚拟机内部重启”，且未提及手动操作。Windows/Linux系统在遭遇内核级错误（如蓝屏BSOD、Kernel Panic）时，默认策略通常会自动重启，符合“查原因”的排查需求，概率估计 ~50%
② 虚拟机-033 虚拟机异常HA
   判断依据：若虚拟机所在宿主机出现故障或心跳丢失，HCI平台会触发HA机制在其它主机上重拉起虚拟机，表现亦为虚拟机意外重启，概率估计 ~40%
③ 以上都不是（请补充症状描述）
请回复 ① ② 或 ③ 完成确认。</t>
        </is>
      </c>
    </row>
    <row r="592">
      <c r="A592" t="inlineStr">
        <is>
          <t>Q2026012001345</t>
        </is>
      </c>
      <c r="B592" t="inlineStr">
        <is>
          <t>HCI</t>
        </is>
      </c>
      <c r="C592" t="inlineStr">
        <is>
          <t>6.10.0_R2</t>
        </is>
      </c>
      <c r="D592" t="inlineStr">
        <is>
          <t>centos虚拟机启用UUID后进入了紧急模式
没有业务 搭建中</t>
        </is>
      </c>
      <c r="E592" t="inlineStr">
        <is>
          <t>虚拟机</t>
        </is>
      </c>
      <c r="F592" t="inlineStr">
        <is>
          <t>虚拟机开关机</t>
        </is>
      </c>
      <c r="G592" t="inlineStr"/>
    </row>
    <row r="593">
      <c r="A593" t="inlineStr">
        <is>
          <t>Q2026012000146</t>
        </is>
      </c>
      <c r="B593" t="inlineStr">
        <is>
          <t>HCI</t>
        </is>
      </c>
      <c r="C593" t="inlineStr"/>
      <c r="D593" t="inlineStr">
        <is>
          <t>主机内存故障，导致主机进亚健康虚拟机无法开机，需协助处理</t>
        </is>
      </c>
      <c r="E593" t="inlineStr">
        <is>
          <t>虚拟机</t>
        </is>
      </c>
      <c r="F593" t="inlineStr">
        <is>
          <t>虚拟机开关机</t>
        </is>
      </c>
      <c r="G593" t="inlineStr">
        <is>
          <t>根据您提供的故障描述“主机内存故障，导致主机进亚健康虚拟机无法开机”，其中明确指出了根本原因是“主机内存故障”，同时伴随“虚拟机无法开机”的业务影响。
综合分析，您的问题可能属于以下故障之一，请确认：
① **硬件-012 内存ECC故障**
   判断依据：客户描述中明确指出“主机内存故障”，且内存故障通常导致主机进入亚健康状态并引发ECC告警，概率估计 ~70%
② **虚拟机-003 虚拟机开机失败**
   判断依据：描述中提到“虚拟机无法开机”，这是内存故障导致的直接业务中断现象，概率估计 ~25%
③ 以上都不是（请补充症状描述）
请回复 ① ② 或 ③ 完成确认。</t>
        </is>
      </c>
    </row>
    <row r="594">
      <c r="A594" t="inlineStr">
        <is>
          <t>Q2026011901978</t>
        </is>
      </c>
      <c r="B594" t="inlineStr">
        <is>
          <t>HCI</t>
        </is>
      </c>
      <c r="C594" t="inlineStr">
        <is>
          <t>6.11.1R1</t>
        </is>
      </c>
      <c r="D594" t="inlineStr">
        <is>
          <t>虚拟机开机提示可配置内存不足，主机详情看配置内存还有50G， 需要协助处理</t>
        </is>
      </c>
      <c r="E594" t="inlineStr">
        <is>
          <t>虚拟机</t>
        </is>
      </c>
      <c r="F594" t="inlineStr">
        <is>
          <t>虚拟机开关机</t>
        </is>
      </c>
      <c r="G594" t="inlineStr">
        <is>
          <t>根据您的描述“虚拟机开机提示可配置内存不足”，您的问题可能属于以下故障之一，请确认：
① 虚拟机-003 虚拟机开机失败
   判断依据：用户执行“虚拟机开机”操作，系统直接报错提示“可配置内存不足”，符合开机失败类故障特征，概率估计 ~95%
③ 以上都不是（请补充症状描述）
请回复 ① 或 ③ 完成确认。</t>
        </is>
      </c>
    </row>
    <row r="595">
      <c r="A595" t="inlineStr">
        <is>
          <t>Q2026011901713</t>
        </is>
      </c>
      <c r="B595" t="inlineStr">
        <is>
          <t>HCI</t>
        </is>
      </c>
      <c r="C595" t="inlineStr">
        <is>
          <t>6.11.1</t>
        </is>
      </c>
      <c r="D595" t="inlineStr">
        <is>
          <t>虚拟机启动慢，需要协助看一下</t>
        </is>
      </c>
      <c r="E595" t="inlineStr">
        <is>
          <t>虚拟机</t>
        </is>
      </c>
      <c r="F595" t="inlineStr">
        <is>
          <t>虚拟机开关机</t>
        </is>
      </c>
      <c r="G595" t="inlineStr">
        <is>
          <t>根据您提供的“虚拟机启动慢”这一关键症状，初步分析涉及虚拟机运行性能或开机流程异常。
① 虚拟机-036 虚拟机整体卡慢
   判断依据：用户描述“启动慢”，通常指开机过程耗时长或进入系统后响应慢，属于典型的虚拟机性能或卡慢问题，概率估计 ~60%
② 虚拟机-003 虚拟机开机失败
   判断依据：部分开机流程卡死或超时的情况会被用户感知为“启动慢”（实为任务挂起或最终失败），概率估计 ~30%
③ 以上都不是（请补充症状描述）
请回复 ① ② 或 ③ 完成确认。</t>
        </is>
      </c>
    </row>
    <row r="596">
      <c r="A596" t="inlineStr">
        <is>
          <t>Q2026011901441</t>
        </is>
      </c>
      <c r="B596" t="inlineStr">
        <is>
          <t>HCI</t>
        </is>
      </c>
      <c r="C596" t="inlineStr"/>
      <c r="D596" t="inlineStr">
        <is>
          <t>虚拟机内部重启。查原因。</t>
        </is>
      </c>
      <c r="E596" t="inlineStr">
        <is>
          <t>虚拟机</t>
        </is>
      </c>
      <c r="F596" t="inlineStr">
        <is>
          <t>虚拟机开关机</t>
        </is>
      </c>
      <c r="G596" t="inlineStr">
        <is>
          <t>根据客户描述“虚拟机内部重启”及排查意图，结合HCI故障分类基准，分析如下：
客户反馈虚拟机自行重启，需排查原因。此现象通常由两类核心原因导致：一是虚拟机内部操作系统崩溃（如蓝屏、内核恐慌）后自动重启，属于虚拟机内部故障；二是平台侧因异常（如HA机制、进程崩溃）导致虚拟机重启。
因此，可能涉及以下故障分类，请确认：
① 虚拟机-042 虚拟机内部蓝屏
   判断依据：客户描述“虚拟机内部重启”，若虚拟机操作系统为Windows，系统蓝屏（BSOD）后通常会触发系统策略自动重启，表现为虚拟机内部自行重启，概率估计 ~60%
② 虚拟机-033 虚拟机异常HA
   判断依据：若虚拟机所在宿主机出现故障或虚拟机进程异常，平台HA机制会强制重启虚拟机以恢复业务，用户现象同样表现为虚拟机非人为重启，概率估计 ~30%
③ 以上都不是（请补充症状描述）
请回复 ① ② 或 ③ 完成确认。</t>
        </is>
      </c>
    </row>
    <row r="597">
      <c r="A597" t="inlineStr">
        <is>
          <t>Q2026011901317</t>
        </is>
      </c>
      <c r="B597" t="inlineStr">
        <is>
          <t>HCI</t>
        </is>
      </c>
      <c r="C597" t="inlineStr">
        <is>
          <t>6.11.1_R1</t>
        </is>
      </c>
      <c r="D597" t="inlineStr">
        <is>
          <t>VDI集群被转换了格式，给了新集群，当前老集群中有一台虚拟机需要拷贝一些文件，需要协助看 是否可以临时拉起虚拟机</t>
        </is>
      </c>
      <c r="E597" t="inlineStr">
        <is>
          <t>虚拟机</t>
        </is>
      </c>
      <c r="F597" t="inlineStr">
        <is>
          <t>虚拟机开关机</t>
        </is>
      </c>
      <c r="G597" t="inlineStr">
        <is>
          <t>根据您的描述，核心需求是在“老集群”中“临时拉起”虚拟机以拷贝文件，这属于虚拟机生命周期管理范畴。由于涉及“集群格式转换”这一特殊背景，可能存在虚拟机开机失败或状态异常的风险。
您的问题可能属于以下故障分类，请确认：
① 虚拟机-003 虚拟机开机失败
   判断依据：用户核心诉求为“临时拉起虚拟机”，即尝试开机操作。在集群格式转换后的老环境中，常因配置缺失或授权问题导致开机失败，概率估计 ~70%
② 虚拟机-L1 虚拟机
   判断依据：用户需求涉及“拷贝文件”，若开机无法进行，可能需要从虚拟机磁盘数据层面进行提取或处理，属于虚拟机通用运维场景，概率估计 ~25%
③ 以上都不是（请补充症状描述）
请回复 ① ② 或 ③ 完成确认。</t>
        </is>
      </c>
    </row>
    <row r="598">
      <c r="A598" t="inlineStr">
        <is>
          <t>Q2026011901302</t>
        </is>
      </c>
      <c r="B598" t="inlineStr">
        <is>
          <t>HCI</t>
        </is>
      </c>
      <c r="C598" t="inlineStr"/>
      <c r="D598" t="inlineStr">
        <is>
          <t>测试超融合虚拟机开机失败提示获取版本号失败，需要协助。</t>
        </is>
      </c>
      <c r="E598" t="inlineStr">
        <is>
          <t>虚拟机</t>
        </is>
      </c>
      <c r="F598" t="inlineStr">
        <is>
          <t>虚拟机开关机</t>
        </is>
      </c>
      <c r="G598" t="inlineStr">
        <is>
          <t>根据用户描述“虚拟机开机失败”及具体报错“获取版本号失败”，这属于典型的虚拟机生命周期管理问题。
您的问题可能属于以下故障之一，请确认：
① 虚拟机-003 虚拟机开机失败
   判断依据：用户明确描述“虚拟机开机失败”，错误提示“获取版本号失败”属于开机流程中的具体报错（通常关联授权或平台服务校验环节），概率估计 ~95%
③ 以上都不是（请补充症状描述）
请回复 ① 或 ③ 完成确认。</t>
        </is>
      </c>
    </row>
    <row r="599">
      <c r="A599" t="inlineStr">
        <is>
          <t>Q2026011900799</t>
        </is>
      </c>
      <c r="B599" t="inlineStr">
        <is>
          <t>HCI</t>
        </is>
      </c>
      <c r="C599" t="inlineStr"/>
      <c r="D599" t="inlineStr">
        <is>
          <t>核心虚拟机重启或者关机都失败</t>
        </is>
      </c>
      <c r="E599" t="inlineStr">
        <is>
          <t>虚拟机</t>
        </is>
      </c>
      <c r="F599" t="inlineStr">
        <is>
          <t>虚拟机开关机</t>
        </is>
      </c>
      <c r="G599" t="inlineStr">
        <is>
          <t>根据您描述的“核心虚拟机重启或者关机都失败”，这意味着虚拟机可能处于卡死或僵尸状态，或者电源管理链路异常。请确认以下分类：
① 虚拟机-039 虚拟机卡死无响应
   判断依据：虚拟机重启和关机操作均失败，通常表明虚拟机进程（QEMU）已卡死或处于僵尸状态，无法响应正常的电源管理指令，概率估计 ~70%
② 虚拟机-004 虚拟机关机失败
   判断依据：用户明确描述包含“关机失败”关键字，属于虚拟机生命周期管理中的电源操作故障，概率估计 ~20%
③ 以上都不是（请补充症状描述）
请回复 ① ② 或 ③ 完成确认。</t>
        </is>
      </c>
    </row>
    <row r="600">
      <c r="A600" t="inlineStr">
        <is>
          <t>Q2026011900738</t>
        </is>
      </c>
      <c r="B600" t="inlineStr">
        <is>
          <t>HCI</t>
        </is>
      </c>
      <c r="C600" t="inlineStr">
        <is>
          <t>6.3.0_R3</t>
        </is>
      </c>
      <c r="D600" t="inlineStr">
        <is>
          <t xml:space="preserve">HCI 里面的一台主机库虚拟机 突然连不上了，客户尝试重启了也没恢复还导致虚拟机也起不来了 </t>
        </is>
      </c>
      <c r="E600" t="inlineStr">
        <is>
          <t>虚拟机</t>
        </is>
      </c>
      <c r="F600" t="inlineStr">
        <is>
          <t>虚拟机开关机</t>
        </is>
      </c>
      <c r="G600" t="inlineStr"/>
    </row>
    <row r="601">
      <c r="A601" t="inlineStr">
        <is>
          <t>Q2026011900668</t>
        </is>
      </c>
      <c r="B601" t="inlineStr">
        <is>
          <t>HCI</t>
        </is>
      </c>
      <c r="C601" t="inlineStr">
        <is>
          <t>HCI6.10.0</t>
        </is>
      </c>
      <c r="D601" t="inlineStr">
        <is>
          <t>单台虚拟机开机失败，提示服务不可用</t>
        </is>
      </c>
      <c r="E601" t="inlineStr">
        <is>
          <t>虚拟机</t>
        </is>
      </c>
      <c r="F601" t="inlineStr">
        <is>
          <t>虚拟机开关机</t>
        </is>
      </c>
      <c r="G601" t="inlineStr">
        <is>
          <t>根据您的描述，故障现象明确指向虚拟机的生命周期管理操作异常，判断如下：
① 虚拟机-003 虚拟机开机失败
   判断依据：客户明确描述“单台虚拟机开机失败”，直接对应虚拟机域中的启动操作故障。报错“服务不可用”通常指示底层的平台服务（如 vtpdaemon/exporter）响应超时或虚拟机所在主机状态异常，属于开机失败的典型表现之一，概率估计 ~95%
③ 以上都不是（请补充症状描述）
请回复 ① 或 ③ 完成确认。</t>
        </is>
      </c>
    </row>
    <row r="602">
      <c r="A602" t="inlineStr">
        <is>
          <t>Q2026011900085</t>
        </is>
      </c>
      <c r="B602" t="inlineStr">
        <is>
          <t>HCI</t>
        </is>
      </c>
      <c r="C602" t="inlineStr"/>
      <c r="D602" t="inlineStr">
        <is>
          <t>6.10.0集群上的虚拟机导入6.11.1反馈开机会卡死，需要协助处理</t>
        </is>
      </c>
      <c r="E602" t="inlineStr">
        <is>
          <t>虚拟机</t>
        </is>
      </c>
      <c r="F602" t="inlineStr">
        <is>
          <t>虚拟机开关机</t>
        </is>
      </c>
      <c r="G602" t="inlineStr"/>
    </row>
    <row r="603">
      <c r="A603" t="inlineStr">
        <is>
          <t>Q2026011900080</t>
        </is>
      </c>
      <c r="B603" t="inlineStr">
        <is>
          <t>HCI</t>
        </is>
      </c>
      <c r="C603" t="inlineStr">
        <is>
          <t>6.10.0R2</t>
        </is>
      </c>
      <c r="D603" t="inlineStr">
        <is>
          <t>虚拟机内部重启，协助排查原因</t>
        </is>
      </c>
      <c r="E603" t="inlineStr">
        <is>
          <t>虚拟机</t>
        </is>
      </c>
      <c r="F603" t="inlineStr">
        <is>
          <t>虚拟机开关机</t>
        </is>
      </c>
      <c r="G603" t="inlineStr">
        <is>
          <t>根据客户描述“虚拟机内部重启”，这通常是虚拟机非预期停机后的恢复现象。在没有具体告警日志的情况下，主要排查方向为操作系统内核崩溃或平台高可用机制触发。您的问题可能属于以下故障之一，请确认：
① 虚拟机-042 虚拟机内部蓝屏
   判断依据：客户描述“虚拟机内部重启”，这通常是 Guest OS 遭遇内核崩溃（如 Windows 蓝屏）后的自动重启行为，需要排查系统内部日志，概率估计 ~50%
② 虚拟机-033 虚拟机异常HA
   判断依据：若宿主机发生故障或意外断电，平台 HA 机制会将虚拟机在其他主机重新拉起，业务侧表现为虚拟机意外重启，概率估计 ~40%
③ 以上都不是（请补充症状描述）
请回复 ① ② 或 ③ 完成确认。</t>
        </is>
      </c>
    </row>
    <row r="604">
      <c r="A604" t="inlineStr">
        <is>
          <t>Q2026011900031</t>
        </is>
      </c>
      <c r="B604" t="inlineStr">
        <is>
          <t>HCI</t>
        </is>
      </c>
      <c r="C604" t="inlineStr">
        <is>
          <t>5.8.7R3</t>
        </is>
      </c>
      <c r="D604" t="inlineStr">
        <is>
          <t>单台虚拟机接入的时候提示开机失败</t>
        </is>
      </c>
      <c r="E604" t="inlineStr">
        <is>
          <t>虚拟机</t>
        </is>
      </c>
      <c r="F604" t="inlineStr">
        <is>
          <t>虚拟机开关机</t>
        </is>
      </c>
      <c r="G604" t="inlineStr">
        <is>
          <t>根据客户描述“单台虚拟机接入的时候提示开机失败”，核心症状明确指向虚拟机启动环节异常。
您的问题可能属于以下故障之一，请确认：
① 虚拟机-003 虚拟机开机失败
   判断依据：客户描述直接提及“提示开机失败”，明确对应虚拟机生命周期管理中的启动故障场景，概率估计 ~95%
③ 以上都不是（请补充症状描述）
请回复 ① 或 ③ 完成确认。</t>
        </is>
      </c>
    </row>
    <row r="605">
      <c r="A605" t="inlineStr">
        <is>
          <t>Q2026011900017</t>
        </is>
      </c>
      <c r="B605" t="inlineStr">
        <is>
          <t>HCI</t>
        </is>
      </c>
      <c r="C605" t="inlineStr">
        <is>
          <t>HCI6.10.0_R2</t>
        </is>
      </c>
      <c r="D605" t="inlineStr">
        <is>
          <t>【申请协助】：客户通过数字化服务平台发起，但是找不到服务商协助，请尽快联系客户处理！&amp;lt;br&amp;gt;【工单描述】：
业务虚拟机启动不起来，提示内部异常，重启无反应，协助解决并排查原因</t>
        </is>
      </c>
      <c r="E605" t="inlineStr">
        <is>
          <t>虚拟机</t>
        </is>
      </c>
      <c r="F605" t="inlineStr">
        <is>
          <t>虚拟机开关机</t>
        </is>
      </c>
      <c r="G605" t="inlineStr">
        <is>
          <t>根据您的描述“业务虚拟机启动不起来，提示内部异常”，您的问题可能属于以下故障之一，请确认：
① 虚拟机-003 虚拟机开机失败
   判断依据：客户明确描述“虚拟机启动不起来”且伴有“内部异常”提示，符合虚拟机生命周期管理中的开机失败场景，概率估计 ~95%
③ 以上都不是（请补充症状描述）
请回复 ① 或 ③ 完成确认。</t>
        </is>
      </c>
    </row>
    <row r="606">
      <c r="A606" t="inlineStr">
        <is>
          <t>Q2026011700436</t>
        </is>
      </c>
      <c r="B606" t="inlineStr">
        <is>
          <t>HCI</t>
        </is>
      </c>
      <c r="C606" t="inlineStr">
        <is>
          <t>6.8.0_R2</t>
        </is>
      </c>
      <c r="D606" t="inlineStr">
        <is>
          <t>虚拟机开机失败虚拟机正在进行其他操作请稍后重试，反馈是核心业务，晚上要用</t>
        </is>
      </c>
      <c r="E606" t="inlineStr">
        <is>
          <t>虚拟机</t>
        </is>
      </c>
      <c r="F606" t="inlineStr">
        <is>
          <t>虚拟机开关机</t>
        </is>
      </c>
      <c r="G606" t="inlineStr">
        <is>
          <t>根据客户描述中明确的“虚拟机开机失败”及系统报错提示，您的问题可能属于以下故障之一，请确认：
① 虚拟机-003 虚拟机开机失败
   判断依据：客户描述明确提及“虚拟机开机失败”，且系统报错“虚拟机正在进行其他操作请稍后重试”属于典型的开机任务冲突或锁定类错误，概率估计 ~95%
③ 以上都不是（请补充症状描述）
请回复 ① 或 ③ 完成确认。</t>
        </is>
      </c>
    </row>
    <row r="607">
      <c r="A607" t="inlineStr">
        <is>
          <t>Q2026011700357</t>
        </is>
      </c>
      <c r="B607" t="inlineStr">
        <is>
          <t>HCI</t>
        </is>
      </c>
      <c r="C607" t="inlineStr">
        <is>
          <t>6.0.0_R5</t>
        </is>
      </c>
      <c r="D607" t="inlineStr">
        <is>
          <t>windwos虚拟机重启后无法开机</t>
        </is>
      </c>
      <c r="E607" t="inlineStr">
        <is>
          <t>虚拟机</t>
        </is>
      </c>
      <c r="F607" t="inlineStr">
        <is>
          <t>虚拟机开关机</t>
        </is>
      </c>
      <c r="G607" t="inlineStr">
        <is>
          <t>根据您提供的故障现象“windwos虚拟机重启后无法开机”，这直接指向虚拟机的生命周期操作失败。
请确认以下故障分类：
① 虚拟机-003 虚拟机开机失败
   判断依据：用户描述“无法开机”，直接对应虚拟机开机失败场景，概率估计 ~95%
③ 以上都不是（请补充症状描述）
请回复 ① 或 ③ 完成确认。</t>
        </is>
      </c>
    </row>
    <row r="608">
      <c r="A608" t="inlineStr">
        <is>
          <t>Q2026011700157</t>
        </is>
      </c>
      <c r="B608" t="inlineStr">
        <is>
          <t>HCI</t>
        </is>
      </c>
      <c r="C608" t="inlineStr">
        <is>
          <t>HCI6.9.1</t>
        </is>
      </c>
      <c r="D608">
        <f>===海外工单信息====
    海外工单ID：20260117860002
    事件等级：Priority4
    产品线：HCI::6.9.1
====客户信息====
    客户ID：315
    客户MDM ID：null
    客户名称：Sangfor Thailand
    客户区域：Thailand
    客户类型：null
====工单信息====
一线负责人：tanapong
客服负责人：low wei yik
研发负责人：陈赞宇(93517)
【事件编号】-
【版本信息】HCI 6.9.1
【CTI专家】-
【问题描述】虚拟机开启卡着30%
【业务影响】-
【当前进展】
1. 有一台虚拟机开机将近一个小时还是无法开启（卡着30%）
2. 虚拟机磁盘也不会很大；
3. 后台看进程有个sync D
【下一步计划】
1. 重启问题主机</f>
        <v/>
      </c>
      <c r="E608" t="inlineStr">
        <is>
          <t>虚拟机</t>
        </is>
      </c>
      <c r="F608" t="inlineStr">
        <is>
          <t>虚拟机开关机</t>
        </is>
      </c>
      <c r="G608" t="inlineStr">
        <is>
          <t>根据 [客户描述为空，无法提取关键实体或错误模式]，您的问题可能属于以下故障之一，请确认：
① 虚拟机-L1 虚拟机
   判断依据：描述信息缺失，按 HCI 平台最高频故障域推荐，概率估计 ~40%
② 存储-L1 存储
   判断依据：描述信息缺失，按常见故障域推荐，概率估计 ~30%
③ 以上都不是（请补充症状描述）
请回复 ① ② 或 ③ 完成确认。</t>
        </is>
      </c>
    </row>
    <row r="609">
      <c r="A609" t="inlineStr">
        <is>
          <t>Q2026011601700</t>
        </is>
      </c>
      <c r="B609" t="inlineStr">
        <is>
          <t>HCI</t>
        </is>
      </c>
      <c r="C609" t="inlineStr">
        <is>
          <t>HCI6.10.0_R2</t>
        </is>
      </c>
      <c r="D609" t="inlineStr">
        <is>
          <t>两主机集群，有一台掉线了。当前有两台虚拟机起不来</t>
        </is>
      </c>
      <c r="E609" t="inlineStr">
        <is>
          <t>虚拟机</t>
        </is>
      </c>
      <c r="F609" t="inlineStr">
        <is>
          <t>虚拟机开关机</t>
        </is>
      </c>
      <c r="G609" t="inlineStr">
        <is>
          <t>根据您的描述“两台虚拟机起不来”及“有一台主机掉线”，问题可能属于以下故障之一，请确认：
① **虚拟机-003 虚拟机开机失败**
   判断依据：客户明确描述“当前有两台虚拟机起不来”，这是业务受损的直接表现，需排查是否因主机掉线导致存储不可访问或资源不足。概率估计 ~60%
② **平台-005 主机离线或异常重启**
   判断依据：客户指出“有一台掉线了”，主机掉线是导致集群架构受损及虚拟机无法启动的关键前因。概率估计 ~40%
③ 以上都不是（请补充症状描述）
请回复 ① ② 或 ③ 完成确认。</t>
        </is>
      </c>
    </row>
    <row r="610">
      <c r="A610" t="inlineStr">
        <is>
          <t>Q2026011601284</t>
        </is>
      </c>
      <c r="B610" t="inlineStr">
        <is>
          <t>HCI</t>
        </is>
      </c>
      <c r="C610" t="inlineStr">
        <is>
          <t>6.10.0_R2</t>
        </is>
      </c>
      <c r="D610" t="inlineStr">
        <is>
          <t>虚拟机异常重启失败，主机内存不足</t>
        </is>
      </c>
      <c r="E610" t="inlineStr">
        <is>
          <t>虚拟机</t>
        </is>
      </c>
      <c r="F610" t="inlineStr">
        <is>
          <t>虚拟机开关机</t>
        </is>
      </c>
      <c r="G610" t="inlineStr">
        <is>
          <t>根据您提供的描述「虚拟机异常重启失败，主机内存不足」，系统定位到以下故障分类：
① **虚拟机-005 虚拟机重启失败**
   判断依据：客户描述明确指出“虚拟机...重启失败”，这是最直接的故障表象；同时“主机内存不足”是导致该重启操作失败的常见底层资源原因，符合分类定义，概率估计 ~70%
② **虚拟机-032 虚拟机HA不达预期**
   判断依据：描述中提及“异常重启”，在HCI环境中虚拟机的异常重启往往由HA（高可用）机制触发。若因主机内存不足导致HA切换或重启未能成功完成，则属于HA功能未达预期，概率估计 ~25%
③ 以上都不是（请补充症状描述）
请回复 ① ② 或 ③ 完成确认。</t>
        </is>
      </c>
    </row>
    <row r="611">
      <c r="A611" t="inlineStr">
        <is>
          <t>Q2026011601135</t>
        </is>
      </c>
      <c r="B611" t="inlineStr">
        <is>
          <t>HCI</t>
        </is>
      </c>
      <c r="C611" t="inlineStr"/>
      <c r="D611" t="inlineStr">
        <is>
          <t>【服务升级】：服务商通过数字化服务平台发起服务升级，请尽快联系服务商处理！&lt;br&gt;【工单描述】：内存超配比后虚拟机开不了机 报内存不够</t>
        </is>
      </c>
      <c r="E611" t="inlineStr">
        <is>
          <t>虚拟机</t>
        </is>
      </c>
      <c r="F611" t="inlineStr">
        <is>
          <t>虚拟机开关机</t>
        </is>
      </c>
      <c r="G611" t="inlineStr">
        <is>
          <t>根据客户描述“内存超配比后虚拟机开不了机 报内存不够”，问题核心在于虚拟机无法正常启动，且原因指向资源分配（内存）问题。
您的问题可能属于以下故障之一，请确认：
① 虚拟机-003 虚拟机开机失败
   判断依据：客户明确描述“虚拟机开不了机”，且提示“报内存不够”，符合虚拟机开机失败中因宿主机资源不足（CPU/内存）导致的典型场景，概率估计 ~95%
② 平台-022 主机CPU或内存配置比占用过高告警
   判断依据：客户提到“内存超配比”，这可能触发了平台层面的资源超配告警或限制，导致无法申请新资源开机，概率估计 ~40%
③ 以上都不是（请补充症状描述）
请回复 ① ② 或 ③ 完成确认。</t>
        </is>
      </c>
    </row>
    <row r="612">
      <c r="A612" t="inlineStr">
        <is>
          <t>Q2026011601096</t>
        </is>
      </c>
      <c r="B612" t="inlineStr">
        <is>
          <t>HCI</t>
        </is>
      </c>
      <c r="C612" t="inlineStr">
        <is>
          <t>6.9.0</t>
        </is>
      </c>
      <c r="D612" t="inlineStr">
        <is>
          <t>单台业务虚拟机报表服务异常 虚拟机无法启动</t>
        </is>
      </c>
      <c r="E612" t="inlineStr">
        <is>
          <t>虚拟机</t>
        </is>
      </c>
      <c r="F612" t="inlineStr">
        <is>
          <t>虚拟机开关机</t>
        </is>
      </c>
      <c r="G612" t="inlineStr">
        <is>
          <t>根据客户描述“虚拟机无法启动”，这直接对应虚拟机生命周期管理中的启动操作故障。
您的故障可能属于以下分类，请确认：
① **虚拟机-003 虚拟机开机失败**
   判断依据：客户明确描述“虚拟机无法启动”，这是虚拟机开机失败的最直接表述，概率估计 ~95%
③ 以上都不是（请补充症状描述）
请回复 ① 或 ③ 完成确认。</t>
        </is>
      </c>
    </row>
    <row r="613">
      <c r="A613" t="inlineStr">
        <is>
          <t>Q2026011600268</t>
        </is>
      </c>
      <c r="B613" t="inlineStr">
        <is>
          <t>HCI</t>
        </is>
      </c>
      <c r="C613" t="inlineStr"/>
      <c r="D613" t="inlineStr">
        <is>
          <t>【服务升级】：服务商通过数字化服务平台发起服务升级，请尽快联系服务商处理！&lt;br&gt;【工单描述】：2003虚机从VMware迁移到HCI上，一直卡在启动界面</t>
        </is>
      </c>
      <c r="E613" t="inlineStr">
        <is>
          <t>虚拟机</t>
        </is>
      </c>
      <c r="F613" t="inlineStr">
        <is>
          <t>虚拟机开关机</t>
        </is>
      </c>
      <c r="G613" t="inlineStr">
        <is>
          <t>根据您提供的工单描述，核心关键词为“VMware迁移”、“HCI”、“一直卡在启动界面”。这表明虚拟机已完成迁移动作但启动过程异常。
结合故障分类基准，初步判断如下：
① 虚拟机-021 虚拟机vmware纳管迁移失败
   判断依据：客户明确提及“从VMware迁移到HCI”，这是最关键的上下文。迁移后启动卡住通常由驱动不兼容（如未注入 VirtIO 驱动）、引导模式不匹配或快照链异常导致，属于迁移后遗留问题，概率估计 ~70%
② 虚拟机-039 虚拟机卡死无响应
   判断依据：故障现象描述为“一直卡在启动界面”，符合虚拟机运行状态异常、无法完成引导加载的卡死特征，概率估计 ~20%
③ 以上都不是（请补充症状描述）
请回复 ① ② 或 ③ 完成确认。</t>
        </is>
      </c>
    </row>
    <row r="614">
      <c r="A614" t="inlineStr">
        <is>
          <t>Q2026011600254</t>
        </is>
      </c>
      <c r="B614" t="inlineStr">
        <is>
          <t>HCI</t>
        </is>
      </c>
      <c r="C614" t="inlineStr">
        <is>
          <t>与版本无关</t>
        </is>
      </c>
      <c r="D614" t="inlineStr">
        <is>
          <t>虚拟机总是内部重启虚拟机
需要查原因</t>
        </is>
      </c>
      <c r="E614" t="inlineStr">
        <is>
          <t>虚拟机</t>
        </is>
      </c>
      <c r="F614" t="inlineStr">
        <is>
          <t>虚拟机开关机</t>
        </is>
      </c>
      <c r="G614" t="inlineStr">
        <is>
          <t>根据您描述的“虚拟机总是内部重启”，这通常指向客户机操作系统层面的崩溃或高可用机制触发。经分析，问题可能属于以下故障分类：
① 虚拟机-042 虚拟机内部蓝屏
   判断依据：客户描述“内部重启”，通常意味着客户机操作系统遭遇致命错误（如Windows蓝屏、Linux Kernel Panic）后自动重引导，属于虚拟机内部系统故障，概率估计 ~60%
② 虚拟机-033 虚拟机异常HA
   判断依据：若虚拟机实际是在主机故障或心跳丢失后被平台强制重启恢复，用户感知也可能为“自动重启”，需排除平台侧的高可用触发场景，概率估计 ~30%
③ 以上都不是（请补充症状描述）
请回复 ① ② 或 ③ 完成确认。</t>
        </is>
      </c>
    </row>
    <row r="615">
      <c r="A615" t="inlineStr">
        <is>
          <t>Q2026011600017</t>
        </is>
      </c>
      <c r="B615" t="inlineStr">
        <is>
          <t>HCI</t>
        </is>
      </c>
      <c r="C615" t="inlineStr">
        <is>
          <t>HCI6.8.0</t>
        </is>
      </c>
      <c r="D615" t="inlineStr">
        <is>
          <t xml:space="preserve">虚拟机重启查原因   目前业务正常  </t>
        </is>
      </c>
      <c r="E615" t="inlineStr">
        <is>
          <t>虚拟机</t>
        </is>
      </c>
      <c r="F615" t="inlineStr">
        <is>
          <t>虚拟机开关机</t>
        </is>
      </c>
      <c r="G615" t="inlineStr"/>
    </row>
    <row r="616">
      <c r="A616" t="inlineStr">
        <is>
          <t>Q2026011501806</t>
        </is>
      </c>
      <c r="B616" t="inlineStr">
        <is>
          <t>HCI</t>
        </is>
      </c>
      <c r="C616" t="inlineStr">
        <is>
          <t>6.11.1_R1</t>
        </is>
      </c>
      <c r="D616" t="inlineStr">
        <is>
          <t>【服务升级】：服务商通过数字化服务平台发起服务升级，请尽快联系服务商处理！&lt;br&gt;【工单描述】：2026年1月15日22点对超融合上的一台虚拟服务器开启“高性能虚拟机”，重启时可能会出现无法重启、任务无法取消的情况，若再次出现此类问题，需要协助后台取消任务，回退操作。</t>
        </is>
      </c>
      <c r="E616" t="inlineStr">
        <is>
          <t>虚拟机</t>
        </is>
      </c>
      <c r="F616" t="inlineStr">
        <is>
          <t>虚拟机开关机</t>
        </is>
      </c>
      <c r="G616" t="inlineStr">
        <is>
          <t>根据您提供的工单描述，问题发生在开启“高性能虚拟机”后的重启环节，核心症状为“无法重启”且“任务无法取消”。
根据 [故障现象分析]，您的问题可能属于以下故障之一，请确认：
① 虚拟机-005 虚拟机重启失败
   判断依据：客户明确描述“重启时可能会出现无法重启”，直接对应重启操作失败场景，概率估计 ~70%
② 虚拟机-039 虚拟机卡死无响应
   判断依据：客户描述“任务无法取消”，通常意味着虚拟机进程僵死或状态异常，导致管理操作无法下发，概率估计 ~25%
③ 以上都不是（请补充症状描述）
请回复 ① ② 或 ③ 完成确认。</t>
        </is>
      </c>
    </row>
    <row r="617">
      <c r="A617" t="inlineStr">
        <is>
          <t>Q2026011501714</t>
        </is>
      </c>
      <c r="B617" t="inlineStr">
        <is>
          <t>HCI</t>
        </is>
      </c>
      <c r="C617" t="inlineStr">
        <is>
          <t>6.7.0R3</t>
        </is>
      </c>
      <c r="D617" t="inlineStr">
        <is>
          <t>虚拟异常重启后进不去系统，需要协助处理</t>
        </is>
      </c>
      <c r="E617" t="inlineStr">
        <is>
          <t>虚拟机</t>
        </is>
      </c>
      <c r="F617" t="inlineStr">
        <is>
          <t>虚拟机开关机</t>
        </is>
      </c>
      <c r="G617" t="inlineStr">
        <is>
          <t>根据您提供的“虚拟异常重启后进不去系统”描述，核心关键词为“异常重启”和“进不去系统”。这通常指向虚拟机高可用（HA）触发后的状态异常，或开机流程本身受阻。
您的问题可能属于以下故障之一，请确认：
① **虚拟机-033 虚拟机异常HA**
   判断依据：客户描述“虚拟异常重启”，在 HCI 环境中通常由主机故障或 HA 机制触发，符合“异常HA”的特征，概率估计 ~60%
② **虚拟机-003 虚拟机开机失败**
   判断依据：客户描述“进不去系统”，若当前虚拟机处于“关机”或“开机失败”状态，说明重启后的开机流程未成功，概率估计 ~35%
③ 以上都不是（请补充症状描述）
请回复 ① ② 或 ③ 完成确认。</t>
        </is>
      </c>
    </row>
    <row r="618">
      <c r="A618" t="inlineStr">
        <is>
          <t>Q2026011501640</t>
        </is>
      </c>
      <c r="B618" t="inlineStr">
        <is>
          <t>HCI</t>
        </is>
      </c>
      <c r="C618" t="inlineStr">
        <is>
          <t>6.10.0_R2</t>
        </is>
      </c>
      <c r="D618" t="inlineStr">
        <is>
          <t>关机了一台虚拟机，10G内存，将10G内存添加到其他虚拟机上了，过了10分钟，虚拟机也无法开机，报错内存不足，内存没有正常释放，需要协助看下</t>
        </is>
      </c>
      <c r="E618" t="inlineStr">
        <is>
          <t>虚拟机</t>
        </is>
      </c>
      <c r="F618" t="inlineStr">
        <is>
          <t>虚拟机开关机</t>
        </is>
      </c>
      <c r="G618" t="inlineStr">
        <is>
          <t>根据您提供的「虚拟机关机后资源未释放导致新虚拟机开机报错内存不足」的现象，核心故障表现为虚拟机启动失败。
请确认故障分类：
① **虚拟机-003 虚拟机开机失败**
   判断依据：用户描述“虚拟机也无法开机，报错内存不足”，明确指向虚拟机启动阶段因资源不足导致的失败任务，概率估计 ~95%
② **虚拟机-023 虚拟机硬件资源热添加和DRX不生效**
   判断依据：用户提到“将10G内存添加到其他虚拟机”，涉及内存资源的变更操作，若变更后未能生效或资源未正确回收可能关联此项，概率估计 ~30%
③ 以上都不是（请补充症状描述）
请回复 ① ② 或 ③ 完成确认。</t>
        </is>
      </c>
    </row>
    <row r="619">
      <c r="A619" t="inlineStr">
        <is>
          <t>Q2026011501131</t>
        </is>
      </c>
      <c r="B619" t="inlineStr">
        <is>
          <t>HCI</t>
        </is>
      </c>
      <c r="C619" t="inlineStr">
        <is>
          <t>5.2R2</t>
        </is>
      </c>
      <c r="D619" t="inlineStr">
        <is>
          <t>单台linux虚拟机无法开机，影响非核心业务</t>
        </is>
      </c>
      <c r="E619" t="inlineStr">
        <is>
          <t>虚拟机</t>
        </is>
      </c>
      <c r="F619" t="inlineStr">
        <is>
          <t>虚拟机开关机</t>
        </is>
      </c>
      <c r="G619" t="inlineStr">
        <is>
          <t>根据客户描述“单台linux虚拟机无法开机”，这是典型的虚拟机生命周期管理问题，判断如下：
① 虚拟机-003 虚拟机开机失败
   判断依据：客户明确描述“虚拟机无法开机”，直接对应虚拟机生命周期中的启动失败状态，概率估计 ~95%
③ 以上都不是（请补充症状描述）
请回复 ① 或 ③ 完成确认。</t>
        </is>
      </c>
    </row>
    <row r="620">
      <c r="A620" t="inlineStr">
        <is>
          <t>Q2026011501019</t>
        </is>
      </c>
      <c r="B620" t="inlineStr">
        <is>
          <t>HCI</t>
        </is>
      </c>
      <c r="C620" t="inlineStr"/>
      <c r="D620" t="inlineStr">
        <is>
          <t>虚拟机异常重启</t>
        </is>
      </c>
      <c r="E620" t="inlineStr">
        <is>
          <t>虚拟机</t>
        </is>
      </c>
      <c r="F620" t="inlineStr">
        <is>
          <t>虚拟机开关机</t>
        </is>
      </c>
      <c r="G620" t="inlineStr"/>
    </row>
    <row r="621">
      <c r="A621" t="inlineStr">
        <is>
          <t>Q2026011500745</t>
        </is>
      </c>
      <c r="B621" t="inlineStr">
        <is>
          <t>HCI</t>
        </is>
      </c>
      <c r="C621" t="inlineStr">
        <is>
          <t>6.11.1R1</t>
        </is>
      </c>
      <c r="D621" t="inlineStr">
        <is>
          <t>派生虚拟机 无法进入系统，卡在booting from hard disk 需要协助处理</t>
        </is>
      </c>
      <c r="E621" t="inlineStr">
        <is>
          <t>虚拟机</t>
        </is>
      </c>
      <c r="F621" t="inlineStr">
        <is>
          <t>虚拟机开关机</t>
        </is>
      </c>
      <c r="G621" t="inlineStr">
        <is>
          <t>根据您提供的症状描述“派生虚拟机”以及“卡在booting from hard disk”，故障定位于虚拟机生命周期中的派生环节或启动环节。该现象通常表明虚拟机已开机运行（BIOS阶段），但无法读取有效的引导磁盘，可能涉及派生后的磁盘映射异常或启动模式配置问题。
您的问题可能属于以下故障之一，请确认：
① **虚拟机-012 虚拟机模版派生失败**
   判断依据：用户明确提到“派生虚拟机”，且症状为无法引导系统，属于派生产物不可用（如启动模式不匹配、磁盘控制器配置异常等），概率估计 ~60%
② **虚拟机-003 虚拟机开机失败**
   判断依据：故障表象为虚拟机无法进入操作系统，卡在 BIOS 引导阶段，属于广义的开机启动失败范畴，概率估计 ~35%
③ 以上都不是（请补充症状描述）
请回复 ① ② 或 ③ 完成确认。</t>
        </is>
      </c>
    </row>
    <row r="622">
      <c r="A622" t="inlineStr">
        <is>
          <t>Q2026011500093</t>
        </is>
      </c>
      <c r="B622" t="inlineStr">
        <is>
          <t>HCI</t>
        </is>
      </c>
      <c r="C622" t="inlineStr"/>
      <c r="D622" t="inlineStr">
        <is>
          <t>虚拟机自动关机了，查原因</t>
        </is>
      </c>
      <c r="E622" t="inlineStr">
        <is>
          <t>虚拟机</t>
        </is>
      </c>
      <c r="F622" t="inlineStr">
        <is>
          <t>虚拟机开关机</t>
        </is>
      </c>
      <c r="G622" t="inlineStr"/>
    </row>
    <row r="623">
      <c r="A623" t="inlineStr">
        <is>
          <t>Q2026011402022</t>
        </is>
      </c>
      <c r="B623" t="inlineStr">
        <is>
          <t>HCI</t>
        </is>
      </c>
      <c r="C623" t="inlineStr"/>
      <c r="D623" t="inlineStr">
        <is>
          <t>linux虚拟机进不去系统</t>
        </is>
      </c>
      <c r="E623" t="inlineStr">
        <is>
          <t>虚拟机</t>
        </is>
      </c>
      <c r="F623" t="inlineStr">
        <is>
          <t>虚拟机开关机</t>
        </is>
      </c>
      <c r="G623" t="inlineStr">
        <is>
          <t>根据您的描述“linux虚拟机进不去系统”，这通常指虚拟机无法通过SSH/远程桌面连接，或者控制台显示异常导致无法操作。结合HCI运维经验，最可能的故障分类如下：
根据 [用户描述“进不去系统”通常指业务不可达或控制台异常]，您的问题可能属于以下故障之一，请确认：
① 虚拟机-049 虚拟机网络丢包或不通
   判断依据：Linux虚拟机常见“进不去系统”表现为SSH连接失败、Ping不通，属于网络连通性范畴，概率估计 ~50%
② 虚拟机-041 虚拟机内部黑屏
   判断依据：若通过HCI控制台打开虚拟机界面显示黑屏或光标闪烁，导致无法看到系统界面，概率估计 ~40%
③ 以上都不是（请补充症状描述）
请回复 ① ② 或 ③ 完成确认。</t>
        </is>
      </c>
    </row>
    <row r="624">
      <c r="A624" t="inlineStr">
        <is>
          <t>Q2026011401871</t>
        </is>
      </c>
      <c r="B624" t="inlineStr">
        <is>
          <t>HCI</t>
        </is>
      </c>
      <c r="C624" t="inlineStr"/>
      <c r="D624" t="inlineStr">
        <is>
          <t>数据库虚拟机扩容了磁盘，现在拉不起来了，需要协助看一下</t>
        </is>
      </c>
      <c r="E624" t="inlineStr">
        <is>
          <t>虚拟机</t>
        </is>
      </c>
      <c r="F624" t="inlineStr">
        <is>
          <t>虚拟机开关机</t>
        </is>
      </c>
      <c r="G624" t="inlineStr">
        <is>
          <t>根据客户描述“数据库虚拟机扩容了磁盘，现在拉不起来了”，核心症状为虚拟机无法启动，且发生在磁盘扩容操作之后。您的问题可能属于以下故障之一，请确认：
① 虚拟机-003 虚拟机开机失败
   判断依据：客户描述“拉不起来了”直指虚拟机无法正常开机启动，虽伴随磁盘扩容操作背景，但故障表现属于典型的开机失败范畴。概率估计 ~90%
③ 以上都不是（请补充症状描述）
请回复 ① 或 ③ 完成确认。</t>
        </is>
      </c>
    </row>
    <row r="625">
      <c r="A625" t="inlineStr">
        <is>
          <t>Q2026011401667</t>
        </is>
      </c>
      <c r="B625" t="inlineStr">
        <is>
          <t>HCI</t>
        </is>
      </c>
      <c r="C625" t="inlineStr">
        <is>
          <t>HCI6.10.0_R2</t>
        </is>
      </c>
      <c r="D625" t="inlineStr">
        <is>
          <t xml:space="preserve">虚拟机无响应 会自动异常重启  </t>
        </is>
      </c>
      <c r="E625" t="inlineStr">
        <is>
          <t>虚拟机</t>
        </is>
      </c>
      <c r="F625" t="inlineStr">
        <is>
          <t>虚拟机开关机</t>
        </is>
      </c>
      <c r="G625" t="inlineStr">
        <is>
          <t>根据客户描述中同时出现的“无响应”和“自动异常重启”两个关键症状，这通常指向虚拟机高可用机制触发或系统内核崩溃，您的问题可能属于以下故障之一，请确认：
① **虚拟机-033 虚拟机异常HA**
   判断依据：客户描述“会自动异常重启”，符合虚拟机因心跳丢失或宿主机故障被平台 HA 机制强制在其他主机拉起的特征，概率估计 ~55%
② **虚拟机-039 虚拟机卡死无响应**
   判断依据：客户描述“虚拟机无响应”，优先描述了卡死状态，重启可能是卡死后的衍生现象（如看门狗触发），概率估计 ~40%
③ 以上都不是（请补充症状描述）
请回复 ① ② 或 ③ 完成确认。</t>
        </is>
      </c>
    </row>
    <row r="626">
      <c r="A626" t="inlineStr">
        <is>
          <t>Q2026011401639</t>
        </is>
      </c>
      <c r="B626" t="inlineStr">
        <is>
          <t>HCI</t>
        </is>
      </c>
      <c r="C626" t="inlineStr">
        <is>
          <t>HCI6.9.1</t>
        </is>
      </c>
      <c r="D626" t="inlineStr">
        <is>
          <t>虚拟机开机提示可配置内存不足，主机详情看下可配置内存是有的</t>
        </is>
      </c>
      <c r="E626" t="inlineStr">
        <is>
          <t>虚拟机</t>
        </is>
      </c>
      <c r="F626" t="inlineStr">
        <is>
          <t>虚拟机开关机</t>
        </is>
      </c>
      <c r="G626" t="inlineStr">
        <is>
          <t>根据 [用户描述“虚拟机开机提示可配置内存不足”]，您的问题可能属于以下故障之一，请确认：
① **虚拟机-003 虚拟机开机失败**
   判断依据：用户明确反馈“虚拟机开机提示可配置内存不足”，该报错直接阻断了虚拟机的启动流程，属于典型的虚拟机开机失败类故障。虽然主机物理内存看似充足，但HCI平台在开机时会校验“可配置内存”（涉及内存复用比、HA预留、NUMA亲和性等逻辑），校验不通过即导致开机失败。概率估计 ~95%
③ 以上都不是（请补充症状描述）
请回复 ① 或 ③ 完成确认。</t>
        </is>
      </c>
    </row>
    <row r="627">
      <c r="A627" t="inlineStr">
        <is>
          <t>Q2026011401541</t>
        </is>
      </c>
      <c r="B627" t="inlineStr">
        <is>
          <t>HCI</t>
        </is>
      </c>
      <c r="C627" t="inlineStr"/>
      <c r="D627" t="inlineStr">
        <is>
          <t>HCI的windows虚拟机安装完补丁后重启起不来了，影响业务，非核心业务</t>
        </is>
      </c>
      <c r="E627" t="inlineStr">
        <is>
          <t>虚拟机</t>
        </is>
      </c>
      <c r="F627" t="inlineStr">
        <is>
          <t>虚拟机开关机</t>
        </is>
      </c>
      <c r="G627" t="inlineStr">
        <is>
          <t>根据客户描述“Windows虚拟机安装完补丁后重启起不来了”，故障现象明确指向虚拟机生命周期操作异常，涉及“重启”动作及“无法启动”结果。您的问题可能属于以下故障之一，请确认：
① 虚拟机-005 虚拟机重启失败
   判断依据：客户明确描述“重启起不来了”，直接对应虚拟机重启操作失败，概率估计 ~60%
② 虚拟机-003 虚拟机开机失败
   判断依据：客户描述“起不来了”指向虚拟机无法进入运行状态，若重启任务已结束但虚拟机处于关机状态无法开启，则属于开机失败，概率估计 ~35%
③ 以上都不是（请补充症状描述）
请回复 ① ② 或 ③ 完成确认。</t>
        </is>
      </c>
    </row>
    <row r="628">
      <c r="A628" t="inlineStr">
        <is>
          <t>Q2026011401457</t>
        </is>
      </c>
      <c r="B628" t="inlineStr">
        <is>
          <t>HCI</t>
        </is>
      </c>
      <c r="C628" t="inlineStr"/>
      <c r="D628" t="inlineStr">
        <is>
          <t>迁移到HCI上的一台虚拟机，开机蓝屏</t>
        </is>
      </c>
      <c r="E628" t="inlineStr">
        <is>
          <t>虚拟机</t>
        </is>
      </c>
      <c r="F628" t="inlineStr">
        <is>
          <t>虚拟机开关机</t>
        </is>
      </c>
      <c r="G628" t="inlineStr">
        <is>
          <t>根据您的描述，虚拟机在开机过程中出现蓝屏（BSOD），这表明虚拟机已成功启动并加载操作系统，但系统内核遇到严重错误导致崩溃。这通常与迁移后的驱动兼容性、系统配置或硬件抽象层变更有关。
您的问题可能属于以下故障，请确认：
① 虚拟机-042 虚拟机内部蓝屏
   判断依据：客户明确描述“开机蓝屏”，属于操作系统层面的崩溃现象，区别于平台层的“开机失败”，概率估计 ~95%
③ 以上都不是（请补充症状描述）
请回复 ① 或 ③ 完成确认。</t>
        </is>
      </c>
    </row>
    <row r="629">
      <c r="A629" t="inlineStr">
        <is>
          <t>Q2026011401225</t>
        </is>
      </c>
      <c r="B629" t="inlineStr">
        <is>
          <t>HCI</t>
        </is>
      </c>
      <c r="C629" t="inlineStr">
        <is>
          <t>6.11.1</t>
        </is>
      </c>
      <c r="D629" t="inlineStr">
        <is>
          <t>导入scp虚拟机，起不来，有报错，是uefi启动的还是不行</t>
        </is>
      </c>
      <c r="E629" t="inlineStr">
        <is>
          <t>虚拟机</t>
        </is>
      </c>
      <c r="F629" t="inlineStr">
        <is>
          <t>虚拟机开关机</t>
        </is>
      </c>
      <c r="G629" t="inlineStr">
        <is>
          <t>根据您提供的故障现象“导入scp虚拟机，起不来，有报错，是uefi启动的还是不行”，问题集中在虚拟机导入后的启动环节，可能属于以下故障分类，请确认：
① 虚拟机-006 虚拟机导入失败
   判断依据：用户描述“导入scp虚拟机...有报错”，若报错发生在导入任务执行过程中或导入后虚拟机配置校验阶段，概率估计 ~60%
② 虚拟机-003 虚拟机开机失败
   判断依据：用户描述“起不来...uefi启动的还是不行”，表明导入任务可能已完成，但虚拟机无法正常启动，涉及启动模式配置问题，概率估计 ~40%
③ 以上都不是（请补充症状描述）
请回复 ① ② 或 ③ 完成确认。</t>
        </is>
      </c>
    </row>
    <row r="630">
      <c r="A630" t="inlineStr">
        <is>
          <t>Q2026011400824</t>
        </is>
      </c>
      <c r="B630" t="inlineStr">
        <is>
          <t>HCI</t>
        </is>
      </c>
      <c r="C630" t="inlineStr">
        <is>
          <t>HCI6.10.0_R2</t>
        </is>
      </c>
      <c r="D630" t="inlineStr">
        <is>
          <t>存储在外置存储的虚拟机开机提示镜像异常</t>
        </is>
      </c>
      <c r="E630" t="inlineStr">
        <is>
          <t>虚拟机</t>
        </is>
      </c>
      <c r="F630" t="inlineStr">
        <is>
          <t>虚拟机开关机</t>
        </is>
      </c>
      <c r="G630" t="inlineStr">
        <is>
          <t>根据您的描述“虚拟机开机提示镜像异常”，这是典型的虚拟机生命周期管理问题，且故障直接表现为开机操作受阻。
请您确认以下故障分类：
① 虚拟机-003 虚拟机开机失败
   判断依据：用户描述的核心动作为“虚拟机开机”，报错信息为“镜像异常”，符合虚拟机启动失败的特征，概率估计 ~95%
② 存储-024 FC存储部分主机无法访问 或 存储-032 ISCSI存储部分主机无法访问
   判断依据：用户特别指出虚拟机位于“外置存储”，若镜像异常是由于主机无法访问外置存储LUN导致，则可能归类于存储连通性故障，概率估计 ~30%
③ 以上都不是（请补充症状描述）
请回复 ① ② 或 ③ 完成确认。</t>
        </is>
      </c>
    </row>
    <row r="631">
      <c r="A631" t="inlineStr">
        <is>
          <t>Q2026011400740</t>
        </is>
      </c>
      <c r="B631" t="inlineStr">
        <is>
          <t>HCI</t>
        </is>
      </c>
      <c r="C631" t="inlineStr">
        <is>
          <t>6.10.0_R1</t>
        </is>
      </c>
      <c r="D631" t="inlineStr">
        <is>
          <t>【服务升级】：服务商通过数字化服务平台发起服务升级，请尽快联系服务商处理！&lt;br&gt;【工单描述】：重置密码虚拟机关闭失败，客户反馈重置密码前虚拟机也卡顿</t>
        </is>
      </c>
      <c r="E631" t="inlineStr">
        <is>
          <t>虚拟机</t>
        </is>
      </c>
      <c r="F631" t="inlineStr">
        <is>
          <t>虚拟机开关机</t>
        </is>
      </c>
      <c r="G631" t="inlineStr">
        <is>
          <t>根据您的描述，故障现象明确涉及“虚拟机关闭失败”，且伴随“虚拟机卡顿”症状。这可能是因为虚拟机处于卡死状态导致无法响应关机指令，或者是独立的电源管理故障。
请确认以下故障分类：
① **虚拟机-004 虚拟机关闭失败**
   判断依据：客户明确描述“重置密码虚拟机关闭失败”，直接指向虚拟机电源操作失败，概率估计 ~70%
② **虚拟机-039 虚拟机卡死无响应**
   判断依据：客户反馈“重置密码前虚拟机也卡顿”，且虚拟机无法关闭通常是系统内部卡死（无响应）的表现，概率估计 ~25%
③ 以上都不是（请补充症状描述）
请回复 ① ② 或 ③ 完成确认。</t>
        </is>
      </c>
    </row>
    <row r="632">
      <c r="A632" t="inlineStr">
        <is>
          <t>Q2026011400142</t>
        </is>
      </c>
      <c r="B632" t="inlineStr">
        <is>
          <t>HCI</t>
        </is>
      </c>
      <c r="C632" t="inlineStr"/>
      <c r="D632" t="inlineStr">
        <is>
          <t>虚拟机业务中断，反馈是核心业务，反馈虚拟机无法关机</t>
        </is>
      </c>
      <c r="E632" t="inlineStr">
        <is>
          <t>虚拟机</t>
        </is>
      </c>
      <c r="F632" t="inlineStr">
        <is>
          <t>虚拟机开关机</t>
        </is>
      </c>
      <c r="G632" t="inlineStr">
        <is>
          <t>根据您提供的故障现象“虚拟机无法关机”，该问题直接对应虚拟机生命周期管理中的操作异常。分析如下：
① 虚拟机-004 虚拟机关机失败
   判断依据：客户明确反馈“虚拟机无法关机”，直接命中虚拟机关机操作失败分类，概率估计 ~95%
③ 以上都不是（请补充症状描述）
请回复 ① 或 ③ 完成确认。</t>
        </is>
      </c>
    </row>
    <row r="633">
      <c r="A633" t="inlineStr">
        <is>
          <t>Q2026011400109</t>
        </is>
      </c>
      <c r="B633" t="inlineStr">
        <is>
          <t>HCI</t>
        </is>
      </c>
      <c r="C633" t="inlineStr">
        <is>
          <t>HCI6.7.0_R2</t>
        </is>
      </c>
      <c r="D633" t="inlineStr">
        <is>
          <t>虚拟机自动关机查原因</t>
        </is>
      </c>
      <c r="E633" t="inlineStr">
        <is>
          <t>虚拟机</t>
        </is>
      </c>
      <c r="F633" t="inlineStr">
        <is>
          <t>虚拟机开关机</t>
        </is>
      </c>
      <c r="G633" t="inlineStr"/>
    </row>
    <row r="634">
      <c r="A634" t="inlineStr">
        <is>
          <t>Q2026011301935</t>
        </is>
      </c>
      <c r="B634" t="inlineStr">
        <is>
          <t>HCI</t>
        </is>
      </c>
      <c r="C634" t="inlineStr">
        <is>
          <t>HCI6.10.0_R2</t>
        </is>
      </c>
      <c r="D634">
        <f>===海外工单信息====
    海外工单ID：20260112860090
    事件等级：Priority3
    产品线：HCI::6.10.0_R2
====客户信息====
    客户ID：772
    客户MDM ID：null
    客户名称：Ministry of Home Affairs of Malaysia (KDN)
    客户区域：Malaysia
    客户类型：KA
====工单信息====
一线负责人：GOO
TAC负责人：陈平
研发责任人：
【事件编号】Ticket#20260112860090
【上升工单】
【版本信息】6.10.0R2
【问题描述】Parlimendb(6A72)(10.21.72.224)_2026_01_05-10_34_16 fail to boot up after failover to HCI.[图片]【业务影响】
【当前进展】
1）确认是Linux 系统启动时 LVM（逻辑卷管理）初始化失败，尝试手动激活lvm卷，提示没有这个lvm2[图片]2)查看fstab文件里面没有vda2，df -h看也只有vda3[图片]【下一步计划】</f>
        <v/>
      </c>
      <c r="E634" t="inlineStr">
        <is>
          <t>虚拟机</t>
        </is>
      </c>
      <c r="F634" t="inlineStr">
        <is>
          <t>虚拟机开关机</t>
        </is>
      </c>
      <c r="G634" t="inlineStr">
        <is>
          <t>根据当前工单上下文及用户输入均为 'nan'，未检测到有效的故障描述、告警或日志信息，无法精准定位故障类型。基于 HCI 平台故障分布统计，优先推荐排查最核心的业务载体（虚拟机）和基础平台状态。
请确认以下选项：
① 虚拟机-L1 虚拟机
   判断依据：未获取到具体症状，虚拟机作为 HCI 核心负载，是故障排查的最常见入口。概率估计 ~40%
② 平台-L1 平台
   判断依据：未获取到具体症状，需排查主机状态、授权或系统服务等基础平台层问题。概率估计 ~30%
③ 以上都不是（请补充具体的故障现象、报错信息或触发操作）
请回复 ① ② 或 ③ 完成确认。</t>
        </is>
      </c>
    </row>
    <row r="635">
      <c r="A635" t="inlineStr">
        <is>
          <t>Q2026011301648</t>
        </is>
      </c>
      <c r="B635" t="inlineStr">
        <is>
          <t>HCI</t>
        </is>
      </c>
      <c r="C635" t="inlineStr"/>
      <c r="D635" t="inlineStr">
        <is>
          <t>虚拟机开机失败，报错镜像忙，影响非核心业务使用</t>
        </is>
      </c>
      <c r="E635" t="inlineStr">
        <is>
          <t>虚拟机</t>
        </is>
      </c>
      <c r="F635" t="inlineStr">
        <is>
          <t>虚拟机开关机</t>
        </is>
      </c>
      <c r="G635" t="inlineStr">
        <is>
          <t>根据客户描述“虚拟机开机失败”及具体报错“镜像忙”，问题指向明确，可能属于以下故障：
① 虚拟机-003 虚拟机开机失败
   判断依据：客户描述明确指出“虚拟机开机失败”，报错“镜像忙”通常是虚拟机在启动过程中磁盘文件被其他进程（如备份、迁移、快照合并）占用锁定导致的启动失败，符合该分类定义，概率估计 ~95%
③ 以上都不是（请补充症状描述）
请回复 ① 或 ③ 完成确认。</t>
        </is>
      </c>
    </row>
    <row r="636">
      <c r="A636" t="inlineStr">
        <is>
          <t>Q2026011301572</t>
        </is>
      </c>
      <c r="B636" t="inlineStr">
        <is>
          <t>HCI</t>
        </is>
      </c>
      <c r="C636" t="inlineStr">
        <is>
          <t>HCI6.7.0_R3</t>
        </is>
      </c>
      <c r="D636" t="inlineStr">
        <is>
          <t>reboot重启虚拟机失败，然后重启电源也是失败的，能看下吗</t>
        </is>
      </c>
      <c r="E636" t="inlineStr">
        <is>
          <t>虚拟机</t>
        </is>
      </c>
      <c r="F636" t="inlineStr">
        <is>
          <t>虚拟机开关机</t>
        </is>
      </c>
      <c r="G636" t="inlineStr">
        <is>
          <t>根据您的描述“reboot重启虚拟机失败，随后重启电源也失败”，问题聚焦在虚拟机电源状态变更操作异常。由于“重启”包含关机和开机过程，“重启电源”通常指强制复位或开机操作，二者失败均指向电源管理类故障。
请确认以下最匹配的分类：
① 虚拟机-005 虚拟机重启失败
   判断依据：客户明确描述“reboot重启虚拟机失败”，直接对应重启操作异常，概率估计 ~55%
② 虚拟机-003 虚拟机开机失败
   判断依据：客户描述“重启电源也是失败的”，表明虚拟机目前可能处于关机状态且无法再次启动，属于开机失败场景，概率估计 ~40%
③ 以上都不是（请补充症状描述）
请回复 ① ② 或 ③ 完成确认。</t>
        </is>
      </c>
    </row>
    <row r="637">
      <c r="A637" t="inlineStr">
        <is>
          <t>Q2026011300643</t>
        </is>
      </c>
      <c r="B637" t="inlineStr">
        <is>
          <t>HCI</t>
        </is>
      </c>
      <c r="C637" t="inlineStr">
        <is>
          <t>HCI6.8.0_R2</t>
        </is>
      </c>
      <c r="D637" t="inlineStr">
        <is>
          <t xml:space="preserve">虚拟机无法启动  显示内存够，但是运行又说不够用
</t>
        </is>
      </c>
      <c r="E637" t="inlineStr">
        <is>
          <t>虚拟机</t>
        </is>
      </c>
      <c r="F637" t="inlineStr">
        <is>
          <t>虚拟机开关机</t>
        </is>
      </c>
      <c r="G637" t="inlineStr">
        <is>
          <t>根据您的描述“虚拟机无法启动”以及具体的错误提示“显示内存够，但是运行又说不够用”，这是典型的资源分配与宿主机实际可用资源冲突导致的启动失败。
您的问题可能属于以下故障，请确认：
① 虚拟机-003 虚拟机开机失败
   判断依据：用户明确反馈“虚拟机无法启动”，错误提示涉及“内存不够用”，符合开机失败中因宿主机资源不足（内存预留不足或物理内存碎片化）导致启动任务被拒绝的典型特征。概率估计 ~95%
② 以上都不是（请补充症状描述）
请回复 ① 或 ② 完成确认。</t>
        </is>
      </c>
    </row>
    <row r="638">
      <c r="A638" t="inlineStr">
        <is>
          <t>Q2026011300614</t>
        </is>
      </c>
      <c r="B638" t="inlineStr">
        <is>
          <t>HCI</t>
        </is>
      </c>
      <c r="C638" t="inlineStr">
        <is>
          <t>6.10.0_R2</t>
        </is>
      </c>
      <c r="D638" t="inlineStr">
        <is>
          <t>物理服务器重启之后，1台预控虚拟机启动不了</t>
        </is>
      </c>
      <c r="E638" t="inlineStr">
        <is>
          <t>虚拟机</t>
        </is>
      </c>
      <c r="F638" t="inlineStr">
        <is>
          <t>虚拟机开关机</t>
        </is>
      </c>
      <c r="G638" t="inlineStr">
        <is>
          <t>根据您的描述“物理服务器重启之后，1台预控虚拟机启动不了”，问题核心在于虚拟机无法正常开机，物理机重启是触发因素。请确认故障分类：
① 虚拟机-003 虚拟机开机失败
   判断依据：用户明确描述“虚拟机启动不了”，直接对应虚拟机生命周期管理中的开机失败场景，物理机重启可能导致资源锁定、状态异常或存储连接中断进而引发开机失败，概率估计 ~95%
② 以上都不是（请补充症状描述）
请回复 ① 或 ② 完成确认。</t>
        </is>
      </c>
    </row>
    <row r="639">
      <c r="A639" t="inlineStr">
        <is>
          <t>Q2026011300520</t>
        </is>
      </c>
      <c r="B639" t="inlineStr">
        <is>
          <t>HCI</t>
        </is>
      </c>
      <c r="C639" t="inlineStr">
        <is>
          <t>6.11.1</t>
        </is>
      </c>
      <c r="D639" t="inlineStr">
        <is>
          <t>adm的HCI服务器集群  导入SCP 虚拟机之后不能开机 提示 Guest has not initialized the display (yet)</t>
        </is>
      </c>
      <c r="E639" t="inlineStr">
        <is>
          <t>虚拟机</t>
        </is>
      </c>
      <c r="F639" t="inlineStr">
        <is>
          <t>虚拟机开关机</t>
        </is>
      </c>
      <c r="G639" t="inlineStr">
        <is>
          <t>根据错误提示 "Guest has not initialized the display (yet)" 结合用户描述的“不能开机”现象，该问题通常指向虚拟机显示层面或客户机操作系统未正确引导，而非物理资源不足导致的开机失败。
您的问题可能属于以下故障之一，请确认：
① **虚拟机-040 虚拟机图形化界面启动失败**
   判断依据：错误信息 `Guest has not initialized the display (yet)` 明确指向显示初始化问题，常见于虚拟机启动后显卡驱动未加载、VNC/SPICE 连接异常或客户机 OS 引导卡死在黑屏阶段，概率估计 ~60%
② **虚拟机-003 虚拟机开机失败**
   判断依据：用户直观描述为“不能开机”，若虚拟机进程实际未启动或因导入后配置不兼容（如 CPU/内存掩码）导致启动任务失败，则归类于此，概率估计 ~35%
③ 以上都不是（请补充症状描述）
请回复 ① ② 或 ③ 完成确认。</t>
        </is>
      </c>
    </row>
    <row r="640">
      <c r="A640" t="inlineStr">
        <is>
          <t>Q2026011300273</t>
        </is>
      </c>
      <c r="B640" t="inlineStr">
        <is>
          <t>HCI</t>
        </is>
      </c>
      <c r="C640" t="inlineStr">
        <is>
          <t>HCI6.8.0</t>
        </is>
      </c>
      <c r="D640" t="inlineStr">
        <is>
          <t>pacs业务系统无法启动</t>
        </is>
      </c>
      <c r="E640" t="inlineStr">
        <is>
          <t>虚拟机</t>
        </is>
      </c>
      <c r="F640" t="inlineStr">
        <is>
          <t>虚拟机开关机</t>
        </is>
      </c>
      <c r="G640" t="inlineStr">
        <is>
          <t>根据您提供的“pacs业务系统无法启动”描述，需区分是虚拟机平台层开机失败还是系统内部应用层启动异常，您的问题可能属于以下故障之一，请确认：
① 虚拟机-003 虚拟机开机失败
   判断依据：客户描述“无法启动”，在HCI运维中通常优先指代虚拟机电源操作失败（如点击开机无反应、报错），概率估计 ~60%
② 虚拟机-043 虚拟机内部软件使用异常
   判断依据：客户描述“业务系统”特指PACS应用，若虚拟机操作系统已正常运行，但内部业务服务无法启动，则归为此类，概率估计 ~40%
③ 以上都不是（请补充症状描述）
请回复 ① ② 或 ③ 完成确认。</t>
        </is>
      </c>
    </row>
    <row r="641">
      <c r="A641" t="inlineStr">
        <is>
          <t>Q2026011201617</t>
        </is>
      </c>
      <c r="B641" t="inlineStr">
        <is>
          <t>HCI</t>
        </is>
      </c>
      <c r="C641" t="inlineStr">
        <is>
          <t>6.11.1</t>
        </is>
      </c>
      <c r="D641" t="inlineStr">
        <is>
          <t>虚拟机重启后进不去系统需要协助处理</t>
        </is>
      </c>
      <c r="E641" t="inlineStr">
        <is>
          <t>虚拟机</t>
        </is>
      </c>
      <c r="F641" t="inlineStr">
        <is>
          <t>虚拟机开关机</t>
        </is>
      </c>
      <c r="G641" t="inlineStr">
        <is>
          <t>根据客户描述「虚拟机重启后进不去系统」，该症状指向操作系统层面的引导故障或系统文件损坏，常见表现为控制台界面异常。请确认以下故障分类：
① 虚拟机-042 虚拟机内部蓝屏
   判断依据：重启操作触发了系统驱动或内核冲突，Windows 虚拟机常见表现为蓝屏报错（BSOD），导致无法进入系统，概率估计 ~50%
② 虚拟机-041 虚拟机内部黑屏
   判断依据：重启后系统引导丢失或卡在 GRUB/BIOS 界面，表现为控制台黑屏或有光标闪烁，导致无法进入系统，概率估计 ~40%
③ 以上都不是（请补充症状描述）
请回复 ① ② 或 ③ 完成确认。</t>
        </is>
      </c>
    </row>
    <row r="642">
      <c r="A642" t="inlineStr">
        <is>
          <t>Q2026011200831</t>
        </is>
      </c>
      <c r="B642" t="inlineStr">
        <is>
          <t>HCI</t>
        </is>
      </c>
      <c r="C642" t="inlineStr"/>
      <c r="D642" t="inlineStr">
        <is>
          <t>数据库虚拟机重启后虚拟机打不开</t>
        </is>
      </c>
      <c r="E642" t="inlineStr">
        <is>
          <t>虚拟机</t>
        </is>
      </c>
      <c r="F642" t="inlineStr">
        <is>
          <t>虚拟机开关机</t>
        </is>
      </c>
      <c r="G642" t="inlineStr">
        <is>
          <t>根据 [客户描述“虚拟机打不开”通常指向无法进入运行状态]，您的问题可能属于以下故障之一，请确认：
① 虚拟机-003 虚拟机开机失败
   判断依据：客户描述“虚拟机打不开”，最直接对应虚拟机无法正常启动进入运行状态的故障场景，概率估计 ~80%
② 虚拟机-009 虚拟机异常挂起
   判断依据：若虚拟机当前状态为“挂起”，用户亦会感知为“打不开”或无响应，需排除此状态异常，概率估计 ~15%
③ 以上都不是（请补充症状描述）
请回复 ① ② 或 ③ 完成确认。</t>
        </is>
      </c>
    </row>
    <row r="643">
      <c r="A643" t="inlineStr">
        <is>
          <t>Q2026011200643</t>
        </is>
      </c>
      <c r="B643" t="inlineStr">
        <is>
          <t>HCI</t>
        </is>
      </c>
      <c r="C643" t="inlineStr">
        <is>
          <t>6.8.0_R1</t>
        </is>
      </c>
      <c r="D643" t="inlineStr">
        <is>
          <t>一般业务虚拟机无法正常开机</t>
        </is>
      </c>
      <c r="E643" t="inlineStr">
        <is>
          <t>虚拟机</t>
        </is>
      </c>
      <c r="F643" t="inlineStr">
        <is>
          <t>虚拟机开关机</t>
        </is>
      </c>
      <c r="G643" t="inlineStr">
        <is>
          <t>根据客户描述中明确提到的“虚拟机”与“无法正常开机”这一核心症状，该问题直接对应虚拟机生命周期管理中的启动故障。
① 虚拟机-003 虚拟机开机失败
   判断依据：客户描述“一般业务虚拟机无法正常开机”，精准命中虚拟机开机失败场景，概率估计 ~95%
③ 以上都不是（请补充症状描述）
请回复 ① 或 ③ 完成确认。</t>
        </is>
      </c>
    </row>
    <row r="644">
      <c r="A644" t="inlineStr">
        <is>
          <t>Q2026011200618</t>
        </is>
      </c>
      <c r="B644" t="inlineStr">
        <is>
          <t>HCI</t>
        </is>
      </c>
      <c r="C644" t="inlineStr"/>
      <c r="D644" t="inlineStr">
        <is>
          <t>acmp开不了机，授权也异常，目前所有的虚拟机无法开机了</t>
        </is>
      </c>
      <c r="E644" t="inlineStr">
        <is>
          <t>虚拟机</t>
        </is>
      </c>
      <c r="F644" t="inlineStr">
        <is>
          <t>虚拟机开关机</t>
        </is>
      </c>
      <c r="G644" t="inlineStr">
        <is>
          <t>根据 [客户描述“授权也异常”且“所有的虚拟机无法开机”]，判定为平台级授权问题导致业务受限，请确认：
① 平台-025 序列号过期告警
   判断依据：授权异常且所有虚拟机无法开机，符合序列号过期导致平台禁止虚拟机启动的特征，概率估计 ~70%
② 虚拟机-003 虚拟机开机失败
   判断依据：客户明确提及“开不了机”，若授权状态经核查正常，则需按通用开机失败排查，概率估计 ~25%
③ 以上都不是（请补充症状描述）
请回复 ① ② 或 ③ 完成确认。</t>
        </is>
      </c>
    </row>
    <row r="645">
      <c r="A645" t="inlineStr">
        <is>
          <t>Q2026011200511</t>
        </is>
      </c>
      <c r="B645" t="inlineStr">
        <is>
          <t>HCI</t>
        </is>
      </c>
      <c r="C645" t="inlineStr"/>
      <c r="D645" t="inlineStr">
        <is>
          <t>虚拟机无法关机，关闭电源也是黑的</t>
        </is>
      </c>
      <c r="E645" t="inlineStr">
        <is>
          <t>虚拟机</t>
        </is>
      </c>
      <c r="F645" t="inlineStr">
        <is>
          <t>虚拟机开关机</t>
        </is>
      </c>
      <c r="G645" t="inlineStr">
        <is>
          <t>根据您的描述“虚拟机无法关机，关闭电源也是黑的”，问题核心在于虚拟机关机操作失败或状态异常。结合故障分类基准，判断如下：
① 虚拟机-004 虚拟机关机失败
   判断依据：客户明确描述“虚拟机无法关机”，直接对应关机失败故障场景，概率估计 ~85%
② 虚拟机-039 虚拟机卡死无响应
   判断依据：客户提到“关闭电源也是黑的”，可能意味着虚拟机处于僵死状态，无法响应关机指令，导致操作无效，概率估计 ~15%
③ 以上都不是（请补充症状描述）
请回复 ① ② 或 ③ 完成确认。</t>
        </is>
      </c>
    </row>
    <row r="646">
      <c r="A646" t="inlineStr">
        <is>
          <t>Q2026011200495</t>
        </is>
      </c>
      <c r="B646" t="inlineStr">
        <is>
          <t>HCI</t>
        </is>
      </c>
      <c r="C646" t="inlineStr">
        <is>
          <t>6.11.1_R1</t>
        </is>
      </c>
      <c r="D646" t="inlineStr">
        <is>
          <t>虚拟机开机提示内存不足</t>
        </is>
      </c>
      <c r="E646" t="inlineStr">
        <is>
          <t>虚拟机</t>
        </is>
      </c>
      <c r="F646" t="inlineStr">
        <is>
          <t>虚拟机开关机</t>
        </is>
      </c>
      <c r="G646" t="inlineStr">
        <is>
          <t>根据用户描述“虚拟机开机提示内存不足”，这直接对应虚拟机生命周期管理中的启动操作受阻，且错误原因明确指向资源分配环节。
您的问题可能属于以下故障之一，请确认：
① **虚拟机-003 虚拟机开机失败**
   判断依据：用户描述“虚拟机开机”操作无法完成，且系统反馈“内存不足”，符合虚拟机开机失败中“宿主资源不足（CPU/内存）”的典型错误模式，属于虚拟机生命周期管理类故障。概率估计 ~95%
③ 以上都不是（请补充症状描述）
请回复 ① 或 ③ 完成确认。</t>
        </is>
      </c>
    </row>
    <row r="647">
      <c r="A647" t="inlineStr">
        <is>
          <t>Q2026011100178</t>
        </is>
      </c>
      <c r="B647" t="inlineStr">
        <is>
          <t>HCI</t>
        </is>
      </c>
      <c r="C647" t="inlineStr">
        <is>
          <t>HCI</t>
        </is>
      </c>
      <c r="D647">
        <f>===海外工单信息====
    海外工单ID：20260111860004
    事件等级：Priority1
    产品线：HCI
====客户信息====
    客户ID：641
    客户MDM ID：null
    客户名称：Innotel
    客户区域：Vietnam
    客户类型：null
====工单信息====
一线负责人：Kevin Vo
客服负责人：Lee Chiew Min
研发负责人：赵亚军 11201
【事件编号】
【版本信息】611.1
【问题描述】客户有进行电池模块替换，重启后 vs离线
【业务影响】核心业务虚拟机无法启动
排查：
1）后台看挂载点没了
2）VS离线
3）磁盘看着是还在的
vs_vginfo:
下一步：
协助查看问题和解决</f>
        <v/>
      </c>
      <c r="E647" t="inlineStr">
        <is>
          <t>虚拟机</t>
        </is>
      </c>
      <c r="F647" t="inlineStr">
        <is>
          <t>虚拟机开关机</t>
        </is>
      </c>
      <c r="G647" t="inlineStr">
        <is>
          <t>根据当前提供的工单信息，客户描述为 'nan'（空值），且无告警日志或任务日志补充，无法提取有效故障特征进行分类定位。
请确认：
③ 以上都不是（请补充故障现象描述）
请回复 ① ② 或 ③ 完成确认。</t>
        </is>
      </c>
    </row>
    <row r="648">
      <c r="A648" t="inlineStr">
        <is>
          <t>Q2026011100061</t>
        </is>
      </c>
      <c r="B648" t="inlineStr">
        <is>
          <t>HCI</t>
        </is>
      </c>
      <c r="C648" t="inlineStr">
        <is>
          <t>6.3.0R1</t>
        </is>
      </c>
      <c r="D648" t="inlineStr">
        <is>
          <t xml:space="preserve">有台物理机故障  虚拟机有起不来 </t>
        </is>
      </c>
      <c r="E648" t="inlineStr">
        <is>
          <t>虚拟机</t>
        </is>
      </c>
      <c r="F648" t="inlineStr">
        <is>
          <t>虚拟机开关机</t>
        </is>
      </c>
      <c r="G648" t="inlineStr">
        <is>
          <t>根据您的描述，问题核心在于“物理机故障”导致了“虚拟机无法启动”。这通常指向两个排查方向：一是业务层面的虚拟机启动操作失败，二是底层物理主机状态异常。
请您确认故障分类：
① 虚拟机-003 虚拟机开机失败
   判断依据：客户直接反馈“虚拟机有起不来”，这是最直观的业务中断症状，需优先排查启动失败的具体报错（如资源不足、存储不可访问等）。概率估计 ~60%
② 平台-005 主机离线或异常重启
   判断依据：客户提及前置条件“有台物理机故障”，若物理机处于离线或异常状态，其上的虚拟机将无法正常运行或迁移。概率估计 ~40%
③ 以上都不是（请补充症状描述）
请回复 ① ② 或 ③ 完成确认。</t>
        </is>
      </c>
    </row>
    <row r="649">
      <c r="A649" t="inlineStr">
        <is>
          <t>Q2026011000380</t>
        </is>
      </c>
      <c r="B649" t="inlineStr">
        <is>
          <t>HCI</t>
        </is>
      </c>
      <c r="C649" t="inlineStr"/>
      <c r="D649" t="inlineStr">
        <is>
          <t>虚拟机打补丁后提示要重启或迁移</t>
        </is>
      </c>
      <c r="E649" t="inlineStr">
        <is>
          <t>虚拟机</t>
        </is>
      </c>
      <c r="F649" t="inlineStr">
        <is>
          <t>虚拟机开关机</t>
        </is>
      </c>
      <c r="G649" t="inlineStr">
        <is>
          <t>根据您的描述“虚拟机打补丁后提示要重启或迁移”，这通常是平台进行版本/补丁升级时的标准交互流程（升级主机需迁移虚拟机），但也可能意味着升级流程卡住或迁移受阻。结合关键词“打补丁”和“迁移”，请确认以下分类：
① 平台-013 补丁升级失败
   判断依据：关键词“打补丁”。平台补丁升级过程中，若主机需要重启，系统会强制要求迁移虚拟机。如果此时流程无法继续或报错，属于此类故障。概率估计 ~60%
② 虚拟机-016 虚拟机集群内热迁移失败（同存储）
   判断依据：提示内容包含“迁移”。若客户确认是在平台升级过程中，虚拟机因资源不足、状态异常等原因无法完成迁移，导致升级卡住，则核心故障点在迁移环节。概率估计 ~30%
③ 以上都不是（请补充症状描述）
请回复 ① ② 或 ③ 完成确认。</t>
        </is>
      </c>
    </row>
    <row r="650">
      <c r="A650" t="inlineStr">
        <is>
          <t>Q2026011000279</t>
        </is>
      </c>
      <c r="B650" t="inlineStr">
        <is>
          <t>HCI</t>
        </is>
      </c>
      <c r="C650" t="inlineStr">
        <is>
          <t>6.11.1R1</t>
        </is>
      </c>
      <c r="D650" t="inlineStr">
        <is>
          <t>导入scp无法开机</t>
        </is>
      </c>
      <c r="E650" t="inlineStr">
        <is>
          <t>虚拟机</t>
        </is>
      </c>
      <c r="F650" t="inlineStr">
        <is>
          <t>虚拟机开关机</t>
        </is>
      </c>
      <c r="G650" t="inlineStr">
        <is>
          <t>根据您的描述“导入scp无法开机”，问题核心在于虚拟机经过导入操作后无法正常启动。
① 虚拟机-003 虚拟机开机失败
   判断依据：客户明确描述症状为“无法开机”，这是当前最直接的故障表现，概率估计 ~70%
② 虚拟机-006 虚拟机导入失败
   判断依据：故障发生在“导入scp”这一特定动作之后，可能是导入过程配置错误或文件异常导致后续开机受阻，概率估计 ~25%
③ 以上都不是（请补充症状描述）
请回复 ① ② 或 ③ 完成确认。</t>
        </is>
      </c>
    </row>
    <row r="651">
      <c r="A651" t="inlineStr">
        <is>
          <t>Q2026011000254</t>
        </is>
      </c>
      <c r="B651" t="inlineStr">
        <is>
          <t>HCI</t>
        </is>
      </c>
      <c r="C651" t="inlineStr"/>
      <c r="D651" t="inlineStr">
        <is>
          <t>纳管迁移后虚拟机无法启动，需要协助处理</t>
        </is>
      </c>
      <c r="E651" t="inlineStr">
        <is>
          <t>虚拟机</t>
        </is>
      </c>
      <c r="F651" t="inlineStr">
        <is>
          <t>虚拟机开关机</t>
        </is>
      </c>
      <c r="G651" t="inlineStr">
        <is>
          <t>根据用户描述中明确提及的“纳管迁移”操作以及“虚拟机无法启动”的直接症状，问题定位如下：
① 虚拟机-021 虚拟机vmware纳管迁移失败
   判断依据：客户描述“纳管迁移后”出现故障。HCI 中“纳管迁移”通常指 VMware 虚拟机迁移至 HCI 平台。迁移后的兼容性问题（如驱动注入失败、引导模式不匹配）是导致虚拟机无法启动的常见原因，概率估计 ~60%
② 虚拟机-003 虚拟机开机失败
   判断依据：客户描述“虚拟机无法启动”。若迁移任务在平台层面显示成功，虚拟机实例已存在但处于关机或无法开机状态，则属于开机失败范畴，概率估计 ~40%
③ 以上都不是（请补充症状描述）
请回复 ① ② 或 ③ 完成确认。</t>
        </is>
      </c>
    </row>
    <row r="652">
      <c r="A652" t="inlineStr">
        <is>
          <t>Q2026010901961</t>
        </is>
      </c>
      <c r="B652" t="inlineStr">
        <is>
          <t>HCI</t>
        </is>
      </c>
      <c r="C652" t="inlineStr">
        <is>
          <t>6.10.0_R2</t>
        </is>
      </c>
      <c r="D652" t="inlineStr">
        <is>
          <t>虚拟机重启后数据丢失，需要协助处理</t>
        </is>
      </c>
      <c r="E652" t="inlineStr">
        <is>
          <t>虚拟机</t>
        </is>
      </c>
      <c r="F652" t="inlineStr">
        <is>
          <t>虚拟机开关机</t>
        </is>
      </c>
      <c r="G652" t="inlineStr">
        <is>
          <t>根据客户描述中明确提到的“虚拟机重启后数据丢失”这一核心现象，您的问题可能属于以下故障之一，请确认：
① 虚拟机-048 虚拟机数据丢失
   判断依据：客户描述“虚拟机重启后数据丢失”，直接命中虚拟机数据丢失的定义，概率估计 ~95%
② 虚拟机-026 虚拟机快照恢复失败
   判断依据：若虚拟机配置了开机自动恢复快照，重启后可能导致数据变更丢失，概率估计 ~5%
③ 以上都不是（请补充症状描述）
请回复 ① ② 或 ③ 完成确认。</t>
        </is>
      </c>
    </row>
    <row r="653">
      <c r="A653" t="inlineStr">
        <is>
          <t>Q2026010901797</t>
        </is>
      </c>
      <c r="B653" t="inlineStr">
        <is>
          <t>HCI</t>
        </is>
      </c>
      <c r="C653" t="inlineStr">
        <is>
          <t>HCI6.11.1_R1</t>
        </is>
      </c>
      <c r="D653" t="inlineStr">
        <is>
          <t>超融合虚拟机自己重启了，需要协助排查原因。</t>
        </is>
      </c>
      <c r="E653" t="inlineStr">
        <is>
          <t>虚拟机</t>
        </is>
      </c>
      <c r="F653" t="inlineStr">
        <is>
          <t>虚拟机开关机</t>
        </is>
      </c>
      <c r="G653" t="inlineStr">
        <is>
          <t>根据您提供的故障现象“虚拟机自己重启了”，这通常是虚拟机高可用（HA）机制触发或宿主机异常导致的。故障分类确认如下：
① 虚拟机-033 虚拟机异常HA
   判断依据：客户描述“虚拟机自己重启”，该现象最常见于虚拟机因宿主机故障或看门狗超时触发的 HA 重新拉起行为，概率估计 ~70%
② 平台-005 主机离线或异常重启
   判断依据：若宿主机发生异常重启或掉电，承载的虚拟机会随之重启，用户感知即为虚拟机自行重启，概率估计 ~25%
③ 以上都不是（请补充症状描述）
请回复 ① ② 或 ③ 完成确认。</t>
        </is>
      </c>
    </row>
    <row r="654">
      <c r="A654" t="inlineStr">
        <is>
          <t>Q2026010900806</t>
        </is>
      </c>
      <c r="B654" t="inlineStr">
        <is>
          <t>HCI</t>
        </is>
      </c>
      <c r="C654" t="inlineStr">
        <is>
          <t>6.3.0_R3</t>
        </is>
      </c>
      <c r="D654" t="inlineStr">
        <is>
          <t>虚拟机卡在开机界面，需要协助处理</t>
        </is>
      </c>
      <c r="E654" t="inlineStr">
        <is>
          <t>虚拟机</t>
        </is>
      </c>
      <c r="F654" t="inlineStr">
        <is>
          <t>虚拟机开关机</t>
        </is>
      </c>
      <c r="G654" t="inlineStr">
        <is>
          <t>根据用户描述“虚拟机卡在开机界面”，该症状指向虚拟机启动流程异常或系统假死，可能属于以下故障分类，请确认：
① 虚拟机-003 虚拟机开机失败
   判断依据：用户描述“卡在开机界面”，通常意味着虚拟机启动流程未能正常完成，属于开机阶段异常，概率估计 ~60%
② 虚拟机-039 虚拟机卡死无响应
   判断依据：虚拟机界面卡住无变化，符合虚拟机运行状态死锁或无响应的特征，概率估计 ~35%
③ 以上都不是（请补充症状描述）
请回复 ① ② 或 ③ 完成确认。</t>
        </is>
      </c>
    </row>
    <row r="655">
      <c r="A655" t="inlineStr">
        <is>
          <t>Q2026010900606</t>
        </is>
      </c>
      <c r="B655" t="inlineStr">
        <is>
          <t>HCI</t>
        </is>
      </c>
      <c r="C655" t="inlineStr">
        <is>
          <t>6.11.1R1</t>
        </is>
      </c>
      <c r="D655" t="inlineStr">
        <is>
          <t>vdi接入报错：开机失败，虚拟机磁盘不存在，请稍后重试，有三四个用户无法使用</t>
        </is>
      </c>
      <c r="E655" t="inlineStr">
        <is>
          <t>虚拟机</t>
        </is>
      </c>
      <c r="F655" t="inlineStr">
        <is>
          <t>虚拟机开关机</t>
        </is>
      </c>
      <c r="G655" t="inlineStr">
        <is>
          <t>根据用户描述“vdi接入报错：开机失败，虚拟机磁盘不存在”，这直接指向虚拟机生命周期中的启动环节异常。虽然错误提示涉及“磁盘”，但在HCI排障逻辑中，虚拟磁盘状态异常是导致开机失败的常见原因之一，且受影响范围较小（仅三四个用户），未报告存储池整体故障，因此优先归类为虚拟机开机失败进行诊断。
您的问题可能属于以下故障之一，请确认：
① 虚拟机-003 虚拟机开机失败
   判断依据：用户明确描述“开机失败”，且错误提示“虚拟机磁盘不存在”是导致开机失败的直接报错，符合虚拟机生命周期管理异常特征，概率估计 ~90%
② 以上都不是（请补充症状描述）
请回复 ① 或 ② 完成确认。</t>
        </is>
      </c>
    </row>
    <row r="656">
      <c r="A656" t="inlineStr">
        <is>
          <t>Q2026010900492</t>
        </is>
      </c>
      <c r="B656" t="inlineStr">
        <is>
          <t>HCI</t>
        </is>
      </c>
      <c r="C656" t="inlineStr"/>
      <c r="D656" t="inlineStr">
        <is>
          <t>VM迁移至HCI上的虚拟机 无法开机</t>
        </is>
      </c>
      <c r="E656" t="inlineStr">
        <is>
          <t>虚拟机</t>
        </is>
      </c>
      <c r="F656" t="inlineStr">
        <is>
          <t>虚拟机开关机</t>
        </is>
      </c>
      <c r="G656" t="inlineStr">
        <is>
          <t>根据客户描述中明确的“虚拟机无法开机”现象，您的问题可能属于以下故障之一，请确认：
① 虚拟机-003 虚拟机开机失败
   判断依据：客户描述“VM迁移至HCI上的虚拟机 无法开机”，核心故障现象为开机操作执行失败，符合该分类定义，概率估计 ~95%
③ 以上都不是（请补充症状描述）
请回复 ① 或 ③ 完成确认。</t>
        </is>
      </c>
    </row>
    <row r="657">
      <c r="A657" t="inlineStr">
        <is>
          <t>Q2026010900329</t>
        </is>
      </c>
      <c r="B657" t="inlineStr">
        <is>
          <t>HCI</t>
        </is>
      </c>
      <c r="C657" t="inlineStr"/>
      <c r="D657" t="inlineStr">
        <is>
          <t>单台虚拟机无法进入系统</t>
        </is>
      </c>
      <c r="E657" t="inlineStr">
        <is>
          <t>虚拟机</t>
        </is>
      </c>
      <c r="F657" t="inlineStr">
        <is>
          <t>虚拟机开关机</t>
        </is>
      </c>
      <c r="G657" t="inlineStr">
        <is>
          <t>根据客户描述“单台虚拟机无法进入系统”，该现象通常指向虚拟机运行状态异常或启动过程受阻。
您的问题可能属于以下故障之一，请确认：
① 虚拟机-039 虚拟机卡死无响应
   判断依据：虚拟机无法进入系统通常表现为系统启动卡住（卡在Windows徽标/Linux启动界面）或黑屏无响应，属于运行状态异常，概率估计 ~60%
② 虚拟机-003 虚拟机开机失败
   判断依据：若虚拟机在启动阶段因资源不足、存储断连或配置错误导致启动任务直接报错退出，也会导致无法进入系统，概率估计 ~30%
③ 以上都不是（请补充症状描述）
请回复 ① ② 或 ③ 完成确认。</t>
        </is>
      </c>
    </row>
    <row r="658">
      <c r="A658" t="inlineStr">
        <is>
          <t>Q2026010900305</t>
        </is>
      </c>
      <c r="B658" t="inlineStr">
        <is>
          <t>HCI</t>
        </is>
      </c>
      <c r="C658" t="inlineStr"/>
      <c r="D658" t="inlineStr">
        <is>
          <t>HCI上的虚拟机迁移到VM上，无法开机</t>
        </is>
      </c>
      <c r="E658" t="inlineStr">
        <is>
          <t>虚拟机</t>
        </is>
      </c>
      <c r="F658" t="inlineStr">
        <is>
          <t>虚拟机开关机</t>
        </is>
      </c>
      <c r="G658" t="inlineStr">
        <is>
          <t>根据您的描述“HCI上的虚拟机迁移到VM上，无法开机”，其中“VM”通常指代 VMware 平台。迁移后无法开机属于迁移结果异常，同时也可能涉及虚拟机基础开机故障。您的问题可能属于以下故障之一，请确认：
① **虚拟机-021 虚拟机vmware纳管迁移失败**
   判断依据：描述中提到“迁移到VM”，通常指跨平台迁移至 VMware。迁移完成后虚拟机无法开机，属于迁移任务未达预期或兼容性问题，概率估计 ~70%
② **虚拟机-003 虚拟机开机失败**
   判断依据：若“VM”为泛指虚拟机，或迁移过程已结束但虚拟机在目标端出现独立的开机故障（如配置错误、系统损坏），核心症状为开机动作失败，概率估计 ~25%
③ 以上都不是（请补充症状描述）
请回复 ① ② 或 ③ 完成确认。</t>
        </is>
      </c>
    </row>
    <row r="659">
      <c r="A659" t="inlineStr">
        <is>
          <t>Q2026010900159</t>
        </is>
      </c>
      <c r="B659" t="inlineStr">
        <is>
          <t>HCI</t>
        </is>
      </c>
      <c r="C659" t="inlineStr">
        <is>
          <t>6.10.0_R1</t>
        </is>
      </c>
      <c r="D659" t="inlineStr">
        <is>
          <t>centos通过SCMT迁移之后无法开机</t>
        </is>
      </c>
      <c r="E659" t="inlineStr">
        <is>
          <t>虚拟机</t>
        </is>
      </c>
      <c r="F659" t="inlineStr">
        <is>
          <t>虚拟机开关机</t>
        </is>
      </c>
      <c r="G659" t="inlineStr">
        <is>
          <t>根据您提供的故障现象“centos通过SCMT迁移之后无法开机”，关键信息指向明确的操作背景（SCMT迁移）和结果状态（无法开机）。
您的问题可能属于以下故障之一，请确认：
① **虚拟机-014 虚拟机scmt迁移失败**
   判断依据：客户明确描述“通过SCMT迁移之后无法开机”。迁移后虚拟机无法启动通常归类为迁移交付失败，涉及驱动注入、引导模式或配置转换问题，属于该分类的核心覆盖范围。概率估计 ~95%
③ 以上都不是（请补充症状描述）
请回复 ① 或 ③ 完成确认。</t>
        </is>
      </c>
    </row>
    <row r="660">
      <c r="A660" t="inlineStr">
        <is>
          <t>Q2026010900023</t>
        </is>
      </c>
      <c r="B660" t="inlineStr">
        <is>
          <t>HCI</t>
        </is>
      </c>
      <c r="C660" t="inlineStr">
        <is>
          <t>6.10.0_R2</t>
        </is>
      </c>
      <c r="D660" t="inlineStr">
        <is>
          <t>HCI6.10.0R2 有一台主机故障。3D虚拟机无法开机，驻外在去现场的路上，预计需要一个小时左右到，但是可以先拉群跟客户那边先对接处理看一下，确认是否正常开机了。反馈离线主机还能ping通。</t>
        </is>
      </c>
      <c r="E660" t="inlineStr">
        <is>
          <t>虚拟机</t>
        </is>
      </c>
      <c r="F660" t="inlineStr">
        <is>
          <t>虚拟机开关机</t>
        </is>
      </c>
      <c r="G660" t="inlineStr">
        <is>
          <t>根据客户描述“有一台主机故障”、“离线主机还能ping通”以及“3D虚拟机无法开机”，核心问题指向主机状态异常导致业务受影响。主机在平台显示离线但网络层仍可 Ping 通，典型属于主机管理平面异常或假死状态，符合平台主机离线故障特征。虚拟机无法开机是主机离线后的衍生现象（宿主不可用）。
您的问题可能属于以下故障之一，请确认：
① 平台-005 主机离线或异常重启
   判断依据：客户明确指出“有一台主机故障”、“反馈离线主机还能ping通”，符合主机在平台状态离线但底层 OS 网络未中断的特征，概率估计 ~95%
③ 以上都不是（请补充症状描述）
请回复 ① 或 ③ 完成确认。</t>
        </is>
      </c>
    </row>
    <row r="661">
      <c r="A661" t="inlineStr">
        <is>
          <t>Q2026010801836</t>
        </is>
      </c>
      <c r="B661" t="inlineStr">
        <is>
          <t>HCI</t>
        </is>
      </c>
      <c r="C661" t="inlineStr">
        <is>
          <t>6.3.0_R2</t>
        </is>
      </c>
      <c r="D661" t="inlineStr">
        <is>
          <t>一个业务系统无法开机，提示镜像忙，是PACS系统</t>
        </is>
      </c>
      <c r="E661" t="inlineStr">
        <is>
          <t>虚拟机</t>
        </is>
      </c>
      <c r="F661" t="inlineStr">
        <is>
          <t>虚拟机开关机</t>
        </is>
      </c>
      <c r="G661" t="inlineStr">
        <is>
          <t>根据您提供的故障现象“业务系统无法开机，提示镜像忙”，这是一个典型的虚拟机开机受阻问题。错误信息“镜像忙”通常意味着虚拟机的磁盘文件被其他进程（如备份、快照合并、迁移等）锁定，导致开机流程无法获取独占访问权限。
您的问题可能属于以下故障分类，请确认：
① **虚拟机-003 虚拟机开机失败**
   判断依据：客户明确描述“无法开机”且系统报错“提示镜像忙”，直接指向虚拟机启动操作失败，概率估计 ~95%
② **虚拟机-025 虚拟机快照合并或删除失败**
   判断依据：“镜像忙”常因后台快照合并任务卡住导致磁盘文件被锁定，进而阻止开机，概率估计 ~30%
③ 以上都不是（请补充症状描述）
请回复 ① ② 或 ③ 完成确认。</t>
        </is>
      </c>
    </row>
    <row r="662">
      <c r="A662" t="inlineStr">
        <is>
          <t>Q2026010801719</t>
        </is>
      </c>
      <c r="B662" t="inlineStr">
        <is>
          <t>HCI</t>
        </is>
      </c>
      <c r="C662" t="inlineStr">
        <is>
          <t>6.10.0_R1</t>
        </is>
      </c>
      <c r="D662" t="inlineStr">
        <is>
          <t>虚拟机点了重启电源卡了一个小时，需要协助取消</t>
        </is>
      </c>
      <c r="E662" t="inlineStr">
        <is>
          <t>虚拟机</t>
        </is>
      </c>
      <c r="F662" t="inlineStr">
        <is>
          <t>虚拟机开关机</t>
        </is>
      </c>
      <c r="G662" t="inlineStr">
        <is>
          <t>根据您的描述“虚拟机点了重启电源卡了一个小时”，该操作属于电源生命周期管理，且明显未在正常时间内完成，问题定位如下：
① 虚拟机-005 虚拟机重启失败
   判断依据：用户执行了“重启电源”操作，现象为“卡了一个小时”，表明重启任务处于停滞或执行超时状态，符合重启失败特征，概率估计 ~95%
③ 以上都不是（请补充症状描述）
请回复 ① 或 ③ 完成确认。</t>
        </is>
      </c>
    </row>
    <row r="663">
      <c r="A663" t="inlineStr">
        <is>
          <t>Q2026010801587</t>
        </is>
      </c>
      <c r="B663" t="inlineStr">
        <is>
          <t>HCI</t>
        </is>
      </c>
      <c r="C663" t="inlineStr">
        <is>
          <t>HCI6.10.0_R2</t>
        </is>
      </c>
      <c r="D663" t="inlineStr">
        <is>
          <t>虚拟机无响应自动重启</t>
        </is>
      </c>
      <c r="E663" t="inlineStr">
        <is>
          <t>虚拟机</t>
        </is>
      </c>
      <c r="F663" t="inlineStr">
        <is>
          <t>虚拟机开关机</t>
        </is>
      </c>
      <c r="G663" t="inlineStr">
        <is>
          <t>根据您的描述“虚拟机无响应自动重启”，这通常对应虚拟机卡死后触发平台高可用（HA）机制或内部崩溃重启的现象。
您的问题可能属于以下故障之一，请确认：
① **虚拟机-033 虚拟机异常HA**
   判断依据：客户描述“无响应自动重启”，符合虚拟机因卡死导致心跳丢失，进而触发平台 HA 机制强制重启虚拟机的典型特征，概率估计 ~70%
② **虚拟机-039 虚拟机卡死无响应**
   判断依据：故障起始状态为“无响应”，核心问题可能是虚拟机内部死锁或资源争抢导致的假死状态，重启仅为后续现象，概率估计 ~25%
③ 以上都不是（请补充症状描述）
请回复 ① ② 或 ③ 完成确认。</t>
        </is>
      </c>
    </row>
    <row r="664">
      <c r="A664" t="inlineStr">
        <is>
          <t>Q2026010801483</t>
        </is>
      </c>
      <c r="B664" t="inlineStr">
        <is>
          <t>HCI</t>
        </is>
      </c>
      <c r="C664" t="inlineStr"/>
      <c r="D664" t="inlineStr">
        <is>
          <t>一台虚拟机一直关机卡主20%</t>
        </is>
      </c>
      <c r="E664" t="inlineStr">
        <is>
          <t>虚拟机</t>
        </is>
      </c>
      <c r="F664" t="inlineStr">
        <is>
          <t>虚拟机开关机</t>
        </is>
      </c>
      <c r="G664" t="inlineStr">
        <is>
          <t>根据您的描述“一台虚拟机一直关机卡主20%”，问题核心在于虚拟机关机操作无法完成，任务进度停滞。这通常属于任务执行失败范畴。
您的问题可能属于以下故障之一，请确认：
① 虚拟机-004 虚拟机关机失败
   判断依据：用户明确描述“虚拟机”、“关机”、“卡主”，属于典型的关机任务执行异常或超时场景，概率估计 ~95%
③ 以上都不是（请补充症状描述）
请回复 ① 或 ③ 完成确认。</t>
        </is>
      </c>
    </row>
    <row r="665">
      <c r="A665" t="inlineStr">
        <is>
          <t>Q2026010702089</t>
        </is>
      </c>
      <c r="B665" t="inlineStr">
        <is>
          <t>HCI</t>
        </is>
      </c>
      <c r="C665" t="inlineStr">
        <is>
          <t>HCI6.10.0_R2</t>
        </is>
      </c>
      <c r="D665" t="inlineStr">
        <is>
          <t>scmt从物理机迁移到HCI，windows开不了机</t>
        </is>
      </c>
      <c r="E665" t="inlineStr">
        <is>
          <t>虚拟机</t>
        </is>
      </c>
      <c r="F665" t="inlineStr">
        <is>
          <t>虚拟机开关机</t>
        </is>
      </c>
      <c r="G665" t="inlineStr">
        <is>
          <t>根据您提供的关键信息“scmt迁移”及“windows开不了机”，问题集中在迁移后的虚拟机启动环节。
① 虚拟机-014 虚拟机scmt迁移失败
   判断依据：客户明确提到使用“scmt”工具进行P2V迁移，迁移后出现系统无法启动的故障现象，属于迁移过程或结果异常，概率估计 ~70%
② 虚拟机-003 虚拟机开机失败
   判断依据：核心故障现象为“windows开不了机”，若迁移任务本身显示成功，则主要表现为虚拟机生命周期管理中的开机失败，概率估计 ~25%
③ 以上都不是（请补充症状描述）
请回复 ① ② 或 ③ 完成确认。</t>
        </is>
      </c>
    </row>
    <row r="666">
      <c r="A666" t="inlineStr">
        <is>
          <t>Q2026010701789</t>
        </is>
      </c>
      <c r="B666" t="inlineStr">
        <is>
          <t>HCI</t>
        </is>
      </c>
      <c r="C666" t="inlineStr">
        <is>
          <t>6.11.1</t>
        </is>
      </c>
      <c r="D666" t="inlineStr">
        <is>
          <t>HCI上的虚拟机在重启完之后，时间会加快了8个小时</t>
        </is>
      </c>
      <c r="E666" t="inlineStr">
        <is>
          <t>虚拟机</t>
        </is>
      </c>
      <c r="F666" t="inlineStr">
        <is>
          <t>虚拟机开关机</t>
        </is>
      </c>
      <c r="G666" t="inlineStr">
        <is>
          <t>根据客户描述“虚拟机重启后时间加快了8个小时”，这是典型的时间同步或时区配置问题。
**分析推理**：
1.  **症状特征**：时间偏差恰好为 8 小时，高度暗示是时区配置冲突（如 UTC 与 GMT+8 互换）或主机与虚拟机时间同步机制异常。
2.  **归属域判断**：
    *   **虚拟机域**：若虚拟机内部时区设置错误，或虚拟机内部 NTP 服务配置不当，属于虚拟机内部软件/系统配置问题。
    *   **平台域**：若宿主机时间不准确，且虚拟机开启了与宿主机时间同步（通过 VMTools），会导致虚拟机时间跟随宿主机跳变，属于平台时间服务问题。
**候选分类**：
根据分析，您的问题可能属于以下故障之一，请确认：
① **虚拟机-043 虚拟机内部软件使用异常**
   判断依据：时间加快8小时通常是虚拟机内部时区配置（如 Linux 的 UTC 设置）与业务时区不一致导致，属于操作系统层面的软件配置问题。概率估计 ~60%
② **平台-024 集群与NTP服务器通信异常告警**
   判断依据：若平台宿主机时间源异常，且虚拟机依赖宿主机进行时间同步，会导致虚拟机时间跟随宿主机发生跳变，需排查集群 NTP 服务状态。概率估计 ~30%
③ 以上都不是（请补充症状描述）
请回复 ① ② 或 ③ 完成确认。</t>
        </is>
      </c>
    </row>
    <row r="667">
      <c r="A667" t="inlineStr">
        <is>
          <t>Q2026010701680</t>
        </is>
      </c>
      <c r="B667" t="inlineStr">
        <is>
          <t>HCI</t>
        </is>
      </c>
      <c r="C667" t="inlineStr">
        <is>
          <t>6.10.0R2</t>
        </is>
      </c>
      <c r="D667" t="inlineStr">
        <is>
          <t>虚拟机重启后业务异常</t>
        </is>
      </c>
      <c r="E667" t="inlineStr">
        <is>
          <t>虚拟机</t>
        </is>
      </c>
      <c r="F667" t="inlineStr">
        <is>
          <t>虚拟机开关机</t>
        </is>
      </c>
      <c r="G667" t="inlineStr">
        <is>
          <t>根据您提供的描述「虚拟机重启后业务异常」，该问题可能涉及虚拟机重启操作本身或重启后的系统状态，请您确认具体故障类型：
① **虚拟机-005 虚拟机重启失败**
   判断依据：描述中包含“重启”动作，若“业务异常”表现为虚拟机重启过程卡死、长时间未完成或状态异常，则属于此类，概率估计 ~50%
② **虚拟机-043 虚拟机内部软件使用异常**
   判断依据：描述中提到“业务异常”，若虚拟机重启成功（操作系统已正常启动），但内部业务软件无法访问、服务未启动或运行报错，则属于此类，概率估计 ~40%
③ 以上都不是（请补充症状描述）
请回复 ① ② 或 ③ 完成确认。</t>
        </is>
      </c>
    </row>
    <row r="668">
      <c r="A668" t="inlineStr">
        <is>
          <t>Q2026010701565</t>
        </is>
      </c>
      <c r="B668" t="inlineStr">
        <is>
          <t>HCI</t>
        </is>
      </c>
      <c r="C668" t="inlineStr"/>
      <c r="D668" t="inlineStr">
        <is>
          <t>主机断电重启后起不来 一台虚拟机起不来</t>
        </is>
      </c>
      <c r="E668" t="inlineStr">
        <is>
          <t>虚拟机</t>
        </is>
      </c>
      <c r="F668" t="inlineStr">
        <is>
          <t>虚拟机开关机</t>
        </is>
      </c>
      <c r="G668" t="inlineStr">
        <is>
          <t>根据客户描述中提及的“虚拟机起不来”及“主机起不来”双重现象，您的问题可能属于以下故障之一，请确认：
① 虚拟机-003 虚拟机开机失败
   判断依据：客户明确指出“一台虚拟机起不来”，直接指向虚拟机生命周期管理中的开机失败场景。概率估计 ~60%
② 平台-005 主机离线或异常重启
   判断依据：客户描述“主机断电重启后起不来”，若主机本身未能成功启动或处于离线状态，则属于主机域故障。概率估计 ~40%
③ 以上都不是（请补充症状描述）
请回复 ① ② 或 ③ 完成确认。</t>
        </is>
      </c>
    </row>
    <row r="669">
      <c r="A669" t="inlineStr">
        <is>
          <t>Q2026010701484</t>
        </is>
      </c>
      <c r="B669" t="inlineStr">
        <is>
          <t>HCI</t>
        </is>
      </c>
      <c r="C669" t="inlineStr">
        <is>
          <t>HCI6.11.1</t>
        </is>
      </c>
      <c r="D669" t="inlineStr">
        <is>
          <t>超融合6111 有一台虚拟机宕机了  重启 无法启动 启动的时候提示找不到 UFI什么 核心业务虚拟机 生产环境</t>
        </is>
      </c>
      <c r="E669" t="inlineStr">
        <is>
          <t>虚拟机</t>
        </is>
      </c>
      <c r="F669" t="inlineStr">
        <is>
          <t>虚拟机开关机</t>
        </is>
      </c>
      <c r="G669" t="inlineStr">
        <is>
          <t>根据您的描述，虚拟机宕机后重启失败，并提示“找不到 UFI...”（推测为 UEFI 或 UUID 相关错误），核心症状为**虚拟机无法正常开机**。
请确认以下故障分类：
① 虚拟机-003 虚拟机开机失败
   判断依据：用户明确描述“重启无法启动”，符合虚拟机生命周期管理中的开机失败场景；错误提示“找不到 UFI”多见于引导配置丢失（UEFI）或存储卷映射异常（UUID），属于开机流程中断。概率估计 ~95%
② 以上都不是（请补充症状描述）
请回复 ① 或 ② 完成确认。</t>
        </is>
      </c>
    </row>
    <row r="670">
      <c r="A670" t="inlineStr">
        <is>
          <t>Q2026010701125</t>
        </is>
      </c>
      <c r="B670" t="inlineStr">
        <is>
          <t>HCI</t>
        </is>
      </c>
      <c r="C670" t="inlineStr">
        <is>
          <t>6.10.0</t>
        </is>
      </c>
      <c r="D670" t="inlineStr">
        <is>
          <t>liunx虚拟机异常重启了，需要协助看一下</t>
        </is>
      </c>
      <c r="E670" t="inlineStr">
        <is>
          <t>虚拟机</t>
        </is>
      </c>
      <c r="F670" t="inlineStr">
        <is>
          <t>虚拟机开关机</t>
        </is>
      </c>
      <c r="G670" t="inlineStr">
        <is>
          <t>根据您的描述【Linux虚拟机异常重启】，在超融合平台中，虚拟机非人为预期的重启通常涉及 HA 机制触发或宿主机状态异常，您的问题可能属于以下故障之一，请确认：
① 虚拟机-033 虚拟机异常HA
   判断依据：虚拟机异常重启是 HA（高可用）机制触发的典型表现，通常由宿主机故障、存储中断或网络心跳丢失导致平台强制重启虚拟机，概率估计 ~60%
② 平台-005 主机离线或异常重启
   判断依据：若物理宿主机发生异常重启、掉电或内核崩溃，会导致运行于该主机上的所有虚拟机同时异常中断并重启，概率估计 ~30%
③ 以上都不是（请补充症状描述）
请回复 ① ② 或 ③ 完成确认。</t>
        </is>
      </c>
    </row>
    <row r="671">
      <c r="A671" t="inlineStr">
        <is>
          <t>Q2026010700801</t>
        </is>
      </c>
      <c r="B671" t="inlineStr">
        <is>
          <t>HCI</t>
        </is>
      </c>
      <c r="C671" t="inlineStr">
        <is>
          <t>6.7.0R3</t>
        </is>
      </c>
      <c r="D671" t="inlineStr">
        <is>
          <t>【服务升级】：服务商通过数字化服务平台发起服务升级，请尽快联系服务商处理！&lt;br&gt;【工单描述】：日志显示： 内部重启成功了，手动关机失败，手动关闭电源成功
实际虚拟机情况： 内部重启卡住了，手动关机失败，手动关闭电源成功
这个内部卡住，手动关机失败这个大概率正常，因为发送手动关机是发送命令到虚拟机内来执行的；看下看能否查到虚拟机卡住的原因吧
虚拟机重启卡住，提示显示现在正在配置, 请勿关机，帮忙排查下</t>
        </is>
      </c>
      <c r="E671" t="inlineStr">
        <is>
          <t>虚拟机</t>
        </is>
      </c>
      <c r="F671" t="inlineStr">
        <is>
          <t>虚拟机开关机</t>
        </is>
      </c>
      <c r="G671" t="inlineStr">
        <is>
          <t>根据您提供的工单描述，核心问题集中在虚拟机的重启操作卡住及伴随的关机失败现象。
综合分析如下：
- **关键实体**：虚拟机（未具名）。
- **错误模式**：
  1. “内部重启卡住”且提示“正在配置, 请勿关机”，这直接指向重启操作未完成。
  2. “手动关机失败”，通常是因为虚拟机处于某种僵持或忙碌状态（如正在配置），导致软关机指令无法响应。
- **分类定位**：
  - 用户明确描述“虚拟机重启卡住”，且是在重启过程中出现配置提示导致无法进入系统，最符合 **虚拟机-005 虚拟机重启失败**。
  - 若虚拟机长时间卡在“正在配置”界面无响应，且软关机失败，亦可归纳为 **虚拟机-039 虚拟机卡死无响应**。
您的问题可能属于以下故障之一，请确认：
① 虚拟机-005 虚拟机重启失败
   判断依据：用户明确描述“虚拟机重启卡住，提示显示现在正在配置”，符合重启操作未达到预期结果的定义，概率估计 ~60%
② 虚拟机-039 虚拟机卡死无响应
   判断依据：虚拟机表现为“内部重启卡住”、“手动关机失败”，表明系统处于僵死或无响应状态，符合卡死特征，概率估计 ~35%
③ 以上都不是（请补充症状描述）
请回复 ① ② 或 ③ 完成确认。</t>
        </is>
      </c>
    </row>
    <row r="672">
      <c r="A672" t="inlineStr">
        <is>
          <t>Q2026010700793</t>
        </is>
      </c>
      <c r="B672" t="inlineStr">
        <is>
          <t>HCI</t>
        </is>
      </c>
      <c r="C672" t="inlineStr"/>
      <c r="D672" t="inlineStr">
        <is>
          <t>虚拟机开机提示计算内存不足，实体机显示内存是有几十G内存，需协助处理</t>
        </is>
      </c>
      <c r="E672" t="inlineStr">
        <is>
          <t>虚拟机</t>
        </is>
      </c>
      <c r="F672" t="inlineStr">
        <is>
          <t>虚拟机开关机</t>
        </is>
      </c>
      <c r="G672" t="inlineStr">
        <is>
          <t>根据用户描述“虚拟机开机提示计算内存不足”，该问题核心在于虚拟机生命周期管理中的启动环节失败。
① 虚拟机-003 虚拟机开机失败
   判断依据：用户明确提及“虚拟机开机”操作，且系统报错“计算内存不足”导致无法启动，符合虚拟机开机失败的故障定义，概率估计 ~95%
③ 以上都不是（请补充症状描述）
请回复 ① 或 ③ 完成确认。</t>
        </is>
      </c>
    </row>
    <row r="673">
      <c r="A673" t="inlineStr">
        <is>
          <t>Q2026010700733</t>
        </is>
      </c>
      <c r="B673" t="inlineStr">
        <is>
          <t>HCI</t>
        </is>
      </c>
      <c r="C673" t="inlineStr">
        <is>
          <t>6.8.0_R2</t>
        </is>
      </c>
      <c r="D673" t="inlineStr">
        <is>
          <t>虚拟机开机卡主：正在启动</t>
        </is>
      </c>
      <c r="E673" t="inlineStr">
        <is>
          <t>虚拟机</t>
        </is>
      </c>
      <c r="F673" t="inlineStr">
        <is>
          <t>虚拟机开关机</t>
        </is>
      </c>
      <c r="G673" t="inlineStr">
        <is>
          <t>根据您提供的“虚拟机开机卡主：正在启动”描述，核心问题指向虚拟机的生命周期管理操作异常。开机过程中任务挂起或超时，通常归类为开机失败范畴。
您的问题可能属于以下故障之一，请确认：
① **虚拟机-003 虚拟机开机失败**
   判断依据：用户描述“虚拟机开机卡主”，状态显示“正在启动”且未进入运行状态，属于开机任务未成功结束的典型表现，概率估计 ~95%
③ 以上都不是（请补充症状描述）
请回复 ① 或 ③ 完成确认。</t>
        </is>
      </c>
    </row>
    <row r="674">
      <c r="A674" t="inlineStr">
        <is>
          <t>Q2026010700448</t>
        </is>
      </c>
      <c r="B674" t="inlineStr">
        <is>
          <t>HCI</t>
        </is>
      </c>
      <c r="C674" t="inlineStr"/>
      <c r="D674" t="inlineStr">
        <is>
          <t>单台虚拟机开机会超过15分钟</t>
        </is>
      </c>
      <c r="E674" t="inlineStr">
        <is>
          <t>虚拟机</t>
        </is>
      </c>
      <c r="F674" t="inlineStr">
        <is>
          <t>虚拟机开关机</t>
        </is>
      </c>
      <c r="G674" t="inlineStr"/>
    </row>
    <row r="675">
      <c r="A675" t="inlineStr">
        <is>
          <t>Q2026010700397</t>
        </is>
      </c>
      <c r="B675" t="inlineStr">
        <is>
          <t>HCI</t>
        </is>
      </c>
      <c r="C675" t="inlineStr">
        <is>
          <t>与版本无关</t>
        </is>
      </c>
      <c r="D675" t="inlineStr">
        <is>
          <t>存在大量虚拟机要开启异常重启和HA功能，需要后台批量操作</t>
        </is>
      </c>
      <c r="E675" t="inlineStr">
        <is>
          <t>虚拟机</t>
        </is>
      </c>
      <c r="F675" t="inlineStr">
        <is>
          <t>虚拟机开关机</t>
        </is>
      </c>
      <c r="G675" t="inlineStr">
        <is>
          <t>根据您提供的工单描述，主要诉求为批量开启虚拟机的 HA 和异常重启保护功能，这属于虚拟机高可用功能的配置或状态调整场景。
**分析过程：**
1.  **关键实体提取**：虚拟机、HA 功能、异常重启、批量操作。
2.  **意图识别**：用户需要变更虚拟机的保护策略（开启 HA）。在故障分类体系中，涉及 HA 功能配置、策略未生效或状态异常的场景，通常归类于虚拟机 HA 相关分类。
3.  **分类匹配**：对比分类基准，`虚拟机-032 虚拟机HA不达预期` 涵盖了 HA 功能配置不成功、策略未生效或需要调整配置的场景。
您的问题可能属于以下故障之一，请确认：
① **虚拟机-032 虚拟机HA不达预期**
   判断依据：用户明确提到“开启HA功能”和“异常重启”需求，属于虚拟机高可用（HA）功能的配置或策略调整范畴，概率估计 ~90%
② **虚拟机-033 虚拟机异常HA**
   判断依据：若用户描述的“异常重启”是指虚拟机当前频繁出现非预期重启，且需要开启 HA 来应对，则可能涉及异常 HA 场景，概率估计 ~10%
③ 以上都不是（请补充症状描述）
请回复 ① ② 或 ③ 完成确认。</t>
        </is>
      </c>
    </row>
    <row r="676">
      <c r="A676" t="inlineStr">
        <is>
          <t>Q2026010700115</t>
        </is>
      </c>
      <c r="B676" t="inlineStr">
        <is>
          <t>HCI</t>
        </is>
      </c>
      <c r="C676" t="inlineStr">
        <is>
          <t>HCI6.8.0_R2</t>
        </is>
      </c>
      <c r="D676" t="inlineStr">
        <is>
          <t>linux虚拟机无法开机，需要协助修复</t>
        </is>
      </c>
      <c r="E676" t="inlineStr">
        <is>
          <t>虚拟机</t>
        </is>
      </c>
      <c r="F676" t="inlineStr">
        <is>
          <t>虚拟机开关机</t>
        </is>
      </c>
      <c r="G676" t="inlineStr">
        <is>
          <t>根据客户描述“linux虚拟机无法开机”，您的问题可能属于以下故障之一，请确认：
① 虚拟机-003 虚拟机开机失败
   判断依据：客户明确描述“虚拟机无法开机”，直接对应虚拟机生命周期中的启动失败场景。概率估计 ~95%
② 虚拟机-042 虚拟机内部蓝屏
   判断依据：若客户描述的“无法开机”实际指代“开机后系统崩溃无法进入系统”，则可能涉及Guest OS内部故障。概率估计 ~15%
③ 以上都不是（请补充症状描述）
请回复 ① ② 或 ③ 完成确认。</t>
        </is>
      </c>
    </row>
    <row r="677">
      <c r="A677" t="inlineStr">
        <is>
          <t>Q2026010700084</t>
        </is>
      </c>
      <c r="B677" t="inlineStr">
        <is>
          <t>HCI</t>
        </is>
      </c>
      <c r="C677" t="inlineStr"/>
      <c r="D677" t="inlineStr">
        <is>
          <t>虚拟机进不去系统</t>
        </is>
      </c>
      <c r="E677" t="inlineStr">
        <is>
          <t>虚拟机</t>
        </is>
      </c>
      <c r="F677" t="inlineStr">
        <is>
          <t>虚拟机开关机</t>
        </is>
      </c>
      <c r="G677" t="inlineStr">
        <is>
          <t>根据客户描述“虚拟机进不去系统”，该现象通常指向虚拟机无法正常引导或运行异常。由于缺乏具体错误截图或日志，最可能的故障方向为开机流程失败或运行状态异常。
请确认以下分类：
① **虚拟机-003 虚拟机开机失败**
   判断依据：客户描述“进不去系统”最常见的情况是开机任务报错或卡住，导致操作系统无法启动，概率估计 ~50%
② **虚拟机-041 虚拟机内部黑屏**
   判断依据：虚拟机可能已开机运行，但控制台显示黑屏，导致用户无法看到系统界面进行操作，概率估计 ~30%
③ 以上都不是（请补充症状描述）
请回复 ① ② 或 ③ 完成确认。</t>
        </is>
      </c>
    </row>
    <row r="678">
      <c r="A678" t="inlineStr">
        <is>
          <t>Q2026010601895</t>
        </is>
      </c>
      <c r="B678" t="inlineStr">
        <is>
          <t>HCI</t>
        </is>
      </c>
      <c r="C678" t="inlineStr">
        <is>
          <t>6.11.1</t>
        </is>
      </c>
      <c r="D678" t="inlineStr">
        <is>
          <t>hci虚拟机开机报错 就是内部重启开不了</t>
        </is>
      </c>
      <c r="E678" t="inlineStr">
        <is>
          <t>虚拟机</t>
        </is>
      </c>
      <c r="F678" t="inlineStr">
        <is>
          <t>虚拟机开关机</t>
        </is>
      </c>
      <c r="G678" t="inlineStr">
        <is>
          <t>根据您提供的故障现象“虚拟机开机报错”及“内部重启开不了”，问题可能属于以下故障分类，请确认：
① 虚拟机-003 虚拟机开机失败
   判断依据：客户描述中明确提及“虚拟机开机报错”，直接指向虚拟机启动生命周期的失败，概率估计 ~70%
② 虚拟机-005 虚拟机重启失败
   判断依据：客户补充描述“内部重启开不了”，指出故障触发场景为虚拟机内部重启操作失败，概率估计 ~25%
③ 以上都不是（请补充症状描述）
请回复 ① ② 或 ③ 完成确认。</t>
        </is>
      </c>
    </row>
    <row r="679">
      <c r="A679" t="inlineStr">
        <is>
          <t>Q2026010601824</t>
        </is>
      </c>
      <c r="B679" t="inlineStr">
        <is>
          <t>HCI</t>
        </is>
      </c>
      <c r="C679" t="inlineStr">
        <is>
          <t>6.10.0R2</t>
        </is>
      </c>
      <c r="D679" t="inlineStr">
        <is>
          <t>主机重启之后出现：欧拉虚拟机开机进去救援模式</t>
        </is>
      </c>
      <c r="E679" t="inlineStr">
        <is>
          <t>虚拟机</t>
        </is>
      </c>
      <c r="F679" t="inlineStr">
        <is>
          <t>虚拟机开关机</t>
        </is>
      </c>
      <c r="G679" t="inlineStr">
        <is>
          <t>根据您的描述“主机重启后，欧拉虚拟机开机进入救援模式”，这通常指向虚拟机操作系统内部的文件系统状态问题。
结合HCI故障分类基准，请确认以下最可能的分类：
① 虚拟机-044 虚拟机内部空间或文件系统异常
   判断依据：主机重启属于非正常掉电场景，极易导致正在运行的虚拟机文件系统不一致（FSCK），从而触发Linux系统（如欧拉）进入救援模式等待修复，概率估计 ~80%
② 虚拟机-003 虚拟机开机失败
   判断依据：虽然虚拟机进程已启动，但从业务可用性角度看，操作系统未能正常引导进入多用户模式，属于广义的开机失败范畴，概率估计 ~15%
③ 以上都不是（请补充症状描述）
请回复 ① ② 或 ③ 完成确认。</t>
        </is>
      </c>
    </row>
    <row r="680">
      <c r="A680" t="inlineStr">
        <is>
          <t>Q2026010601663</t>
        </is>
      </c>
      <c r="B680" t="inlineStr">
        <is>
          <t>HCI</t>
        </is>
      </c>
      <c r="C680" t="inlineStr">
        <is>
          <t>6.10.0_R2</t>
        </is>
      </c>
      <c r="D680" t="inlineStr">
        <is>
          <t>虚拟内部自动重启</t>
        </is>
      </c>
      <c r="E680" t="inlineStr">
        <is>
          <t>虚拟机</t>
        </is>
      </c>
      <c r="F680" t="inlineStr">
        <is>
          <t>虚拟机开关机</t>
        </is>
      </c>
      <c r="G680" t="inlineStr">
        <is>
          <t>根据客户描述“虚拟内部自动重启”，重点在于区分是操作系统层面的崩溃重启（如蓝屏、内核恐慌）还是平台层面的高可用（HA）触发重启。
您的问题可能属于以下故障之一，请确认：
① **虚拟机-042 虚拟机内部蓝屏**
   判断依据：描述强调“内部”自动重启，Windows 系统蓝屏（BSOD）或 Linux 内核恐慌默认配置为自动重启，用户往往只能看到重启现象而未捕捉到蓝屏界面，概率估计 ~60%
② **虚拟机-033 虚拟机异常HA**
   判断依据：若虚拟机实际是因宿主机故障或平台服务异常触发了 HA 机制（高可用），也会表现为虚拟机自动重启，用户易误判为内部自发行为，概率估计 ~30%
③ 以上都不是（请补充症状描述）
请回复 ① ② 或 ③ 完成确认。</t>
        </is>
      </c>
    </row>
    <row r="681">
      <c r="A681" t="inlineStr">
        <is>
          <t>Q2026010601611</t>
        </is>
      </c>
      <c r="B681" t="inlineStr">
        <is>
          <t>HCI</t>
        </is>
      </c>
      <c r="C681" t="inlineStr"/>
      <c r="D681" t="inlineStr">
        <is>
          <t>【服务升级】：服务商通过数字化服务平台发起服务升级，请尽快联系服务商处理！&lt;br&gt;【工单描述】：虚拟机操作系统开机失败，无法进入系统</t>
        </is>
      </c>
      <c r="E681" t="inlineStr">
        <is>
          <t>虚拟机</t>
        </is>
      </c>
      <c r="F681" t="inlineStr">
        <is>
          <t>虚拟机开关机</t>
        </is>
      </c>
      <c r="G681" t="inlineStr">
        <is>
          <t>根据客户描述“虚拟机操作系统开机失败”，该问题直接指向虚拟机生命周期管理中的启动环节故障。
① 虚拟机-003 虚拟机开机失败
   判断依据：客户描述明确提及“虚拟机操作系统开机失败”，直接命中虚拟机启动任务异常场景，概率估计 ~95%
③ 以上都不是（请补充症状描述）
请回复 ① 或 ③ 完成确认。</t>
        </is>
      </c>
    </row>
    <row r="682">
      <c r="A682" t="inlineStr">
        <is>
          <t>Q2026010601286</t>
        </is>
      </c>
      <c r="B682" t="inlineStr">
        <is>
          <t>HCI</t>
        </is>
      </c>
      <c r="C682" t="inlineStr"/>
      <c r="D682" t="inlineStr">
        <is>
          <t>虚拟机进行了系统更新，没有成功。便又进行了配置还原，现在卡在配置还原的状态</t>
        </is>
      </c>
      <c r="E682" t="inlineStr">
        <is>
          <t>虚拟机</t>
        </is>
      </c>
      <c r="F682" t="inlineStr">
        <is>
          <t>虚拟机开关机</t>
        </is>
      </c>
      <c r="G682" t="inlineStr">
        <is>
          <t>根据您提供的症状“虚拟机系统更新失败后执行配置还原，当前卡在配置还原状态”，该操作通常对应虚拟机快照恢复功能。问题可能属于以下故障之一，请确认：
① 虚拟机-026 虚拟机快照恢复失败
   判断依据：用户提到“配置还原”，在HCI中通常指执行快照恢复操作，状态卡住属于该操作失败或异常，概率估计 ~80%
② 虚拟机-009 虚拟机异常挂起
   判断依据：虚拟机处于“卡在...状态”，可能表现为进程挂起或无响应，需确认虚拟机是否处于“挂起”状态，概率估计 ~15%
③ 以上都不是（请补充症状描述）
请回复 ① ② 或 ③ 完成确认。</t>
        </is>
      </c>
    </row>
    <row r="683">
      <c r="A683" t="inlineStr">
        <is>
          <t>Q2026010601170</t>
        </is>
      </c>
      <c r="B683" t="inlineStr">
        <is>
          <t>HCI</t>
        </is>
      </c>
      <c r="C683" t="inlineStr"/>
      <c r="D683" t="inlineStr">
        <is>
          <t>导入的虚拟机，无法正常开机，需要协助看下</t>
        </is>
      </c>
      <c r="E683" t="inlineStr">
        <is>
          <t>虚拟机</t>
        </is>
      </c>
      <c r="F683" t="inlineStr">
        <is>
          <t>虚拟机开关机</t>
        </is>
      </c>
      <c r="G683" t="inlineStr">
        <is>
          <t>根据用户描述“导入的虚拟机，无法正常开机”，结合HCI故障分类基准，判断如下：
① 虚拟机-003 虚拟机开机失败
   判断依据：用户明确指出“无法正常开机”，直接对应虚拟机生命周期管理中的开机操作失败场景，概率估计 ~90%
③ 以上都不是（请补充症状描述）
请回复 ① 或 ③ 完成确认。</t>
        </is>
      </c>
    </row>
    <row r="684">
      <c r="A684" t="inlineStr">
        <is>
          <t>Q2026010601018</t>
        </is>
      </c>
      <c r="B684" t="inlineStr">
        <is>
          <t>HCI</t>
        </is>
      </c>
      <c r="C684" t="inlineStr"/>
      <c r="D684" t="inlineStr">
        <is>
          <t xml:space="preserve">磁盘损坏不分虚拟机无法开机  </t>
        </is>
      </c>
      <c r="E684" t="inlineStr">
        <is>
          <t>虚拟机</t>
        </is>
      </c>
      <c r="F684" t="inlineStr">
        <is>
          <t>虚拟机开关机</t>
        </is>
      </c>
      <c r="G684" t="inlineStr">
        <is>
          <t>根据您提供的描述“磁盘损坏不分虚拟机无法开机”，已识别出关键实体为“磁盘（硬盘）”和“虚拟机”，故障模式表现为硬件故障导致业务受损。
您的问题可能属于以下故障之一，请确认：
① **硬件-020 硬盘离线或不识别**
   判断依据：描述中明确提到“磁盘损坏”，物理损坏通常导致硬盘在系统中离线或无法被识别，进而引发上层虚拟机故障。概率估计 ~60%
② **虚拟机-003 虚拟机开机失败**
   判断依据：描述中提到“部分虚拟机无法开机”，这是用户直接感知到的业务故障现象，可能因存储不可用导致。概率估计 ~30%
③ 以上都不是（请补充症状描述）
请回复 ① ② 或 ③ 完成确认。</t>
        </is>
      </c>
    </row>
    <row r="685">
      <c r="A685" t="inlineStr">
        <is>
          <t>Q2026010600954</t>
        </is>
      </c>
      <c r="B685" t="inlineStr">
        <is>
          <t>HCI</t>
        </is>
      </c>
      <c r="C685" t="inlineStr">
        <is>
          <t>HCI6.10.0_R2</t>
        </is>
      </c>
      <c r="D685" t="inlineStr">
        <is>
          <t>虚拟机重启后zabbix会提示时间慢了一秒</t>
        </is>
      </c>
      <c r="E685" t="inlineStr">
        <is>
          <t>虚拟机</t>
        </is>
      </c>
      <c r="F685" t="inlineStr">
        <is>
          <t>虚拟机开关机</t>
        </is>
      </c>
      <c r="G685" t="inlineStr">
        <is>
          <t>根据您的描述“虚拟机重启后zabbix会提示时间慢了一秒”，这是典型的时间同步类问题。在HCI架构中，虚拟机时间同步通常依赖于宿主机NTP服务或虚拟化层时间同步机制。
您的问题可能属于以下故障之一，请确认：
① **平台-024 集群与NTP服务器通信异常告警**
   判断依据：虚拟机重启后时间出现偏差，通常暗示宿主机时间不准确或集群NTP服务异常，导致虚拟机同步到了错误的时间，概率估计 ~60%
② **虚拟机-043 虚拟机内部软件使用异常**
   判断依据：若集群时间正常，则问题可能局限于虚拟机内部的时间同步配置（如NTP客户端配置、VMTools时间同步配置），属于虚拟机内部业务配置范畴，概率估计 ~30%
③ 以上都不是（请补充症状描述）
请回复 ① ② 或 ③ 完成确认。</t>
        </is>
      </c>
    </row>
    <row r="686">
      <c r="A686" t="inlineStr">
        <is>
          <t>Q2026010600698</t>
        </is>
      </c>
      <c r="B686" t="inlineStr">
        <is>
          <t>HCI</t>
        </is>
      </c>
      <c r="C686" t="inlineStr">
        <is>
          <t>HCI6.11.1</t>
        </is>
      </c>
      <c r="D686" t="inlineStr">
        <is>
          <t>虚拟机无响应，vdc还提示agent版本与系统版本不一致，一直都在关机中的状态</t>
        </is>
      </c>
      <c r="E686" t="inlineStr">
        <is>
          <t>虚拟机</t>
        </is>
      </c>
      <c r="F686" t="inlineStr">
        <is>
          <t>虚拟机开关机</t>
        </is>
      </c>
      <c r="G686" t="inlineStr">
        <is>
          <t>根据您提供的故障现象“虚拟机无响应”、“一直都在关机中的状态”，这是典型的虚拟机生命周期管理异常。
结合“vdc提示agent版本不一致”的信息，这可能导致监控状态上报异常或驱动兼容性问题，从而引发关机流程阻塞。
您的问题可能属于以下故障之一，请确认：
① **虚拟机-004 虚拟机关机失败**
   判断依据：客户描述“一直都在关机中的状态”，说明虚拟机停留在关机流程中无法完成，符合关机失败的特征。概率估计 ~60%
② **虚拟机-039 虚拟机卡死无响应**
   判断依据：客户描述“虚拟机无响应”，且状态卡在“关机中”通常是由于虚拟机内部死机或进程僵死导致无法响应关机指令。概率估计 ~35%
③ 以上都不是（请补充症状描述）
请回复 ① ② 或 ③ 完成确认。</t>
        </is>
      </c>
    </row>
    <row r="687">
      <c r="A687" t="inlineStr">
        <is>
          <t>Q2026010600467</t>
        </is>
      </c>
      <c r="B687" t="inlineStr">
        <is>
          <t>HCI</t>
        </is>
      </c>
      <c r="C687" t="inlineStr">
        <is>
          <t>6.10.0</t>
        </is>
      </c>
      <c r="D687" t="inlineStr">
        <is>
          <t>虚拟机开机，VDC上显示未锁定状态，需要协助看一下</t>
        </is>
      </c>
      <c r="E687" t="inlineStr">
        <is>
          <t>虚拟机</t>
        </is>
      </c>
      <c r="F687" t="inlineStr">
        <is>
          <t>虚拟机开关机</t>
        </is>
      </c>
      <c r="G687" t="inlineStr">
        <is>
          <t>根据用户描述的“虚拟机开机”操作及“VDC上显示未锁定状态”的异常现象，问题可能属于以下故障之一：
① 虚拟机-003 虚拟机开机失败
   判断依据：用户核心诉求为“虚拟机开机”，且VDC显示状态异常（未锁定），通常意味着开机流程未能正常完成或状态同步失败，概率估计 ~60%
② 平台-026 序列号Key状态异常告警
   判断依据：VDC显示“未锁定状态”通常与平台授权、许可证状态或序列号管控有关，授权异常是导致虚拟机无法正常开机或保持状态的常见原因，概率估计 ~30%
③ 以上都不是（请补充症状描述）
请回复 ① ② 或 ③ 完成确认。</t>
        </is>
      </c>
    </row>
    <row r="688">
      <c r="A688" t="inlineStr">
        <is>
          <t>Q2026010600450</t>
        </is>
      </c>
      <c r="B688" t="inlineStr">
        <is>
          <t>HCI</t>
        </is>
      </c>
      <c r="C688" t="inlineStr"/>
      <c r="D688" t="inlineStr">
        <is>
          <t>主机的存储网卡配置错误 被隔离  虚拟存储掉线  虚拟机无法开机</t>
        </is>
      </c>
      <c r="E688" t="inlineStr">
        <is>
          <t>虚拟机</t>
        </is>
      </c>
      <c r="F688" t="inlineStr">
        <is>
          <t>虚拟机开关机</t>
        </is>
      </c>
      <c r="G688" t="inlineStr">
        <is>
          <t>根据您的描述，故障核心特征为“主机被隔离”导致“虚拟存储掉线”，进而引发“虚拟机无法开机”。存储离线是导致虚拟机开机失败的根因，请确认以下分类：
① 存储-019 虚拟存储状态异常（离线、服务异常、服务未启动等）
   判断依据：客户描述“虚拟存储掉线”，且主机因存储网卡配置错误被隔离，直接对应存储域状态异常，概率估计 ~60%
② 虚拟机-003 虚拟机开机失败
   判断依据：客户描述“虚拟机无法开机”，这是存储离线后的直接业务影响，概率估计 ~40%
③ 以上都不是（请补充症状描述）
请回复 ① ② 或 ③ 完成确认。</t>
        </is>
      </c>
    </row>
    <row r="689">
      <c r="A689" t="inlineStr">
        <is>
          <t>Q2026010600179</t>
        </is>
      </c>
      <c r="B689" t="inlineStr">
        <is>
          <t>HCI</t>
        </is>
      </c>
      <c r="C689" t="inlineStr"/>
      <c r="D689" t="inlineStr">
        <is>
          <t>虚拟机开机提示检测到disksafe软件</t>
        </is>
      </c>
      <c r="E689" t="inlineStr">
        <is>
          <t>虚拟机</t>
        </is>
      </c>
      <c r="F689" t="inlineStr">
        <is>
          <t>虚拟机开关机</t>
        </is>
      </c>
      <c r="G689" t="inlineStr">
        <is>
          <t>根据客户描述“虚拟机开机提示检测到disksafe软件”，这是典型的虚拟机开机阶段报错，通常涉及兼容性检查或拦截机制，请确认：
① 虚拟机-003 虚拟机开机失败
   判断依据：故障发生在“虚拟机开机”动作过程中，且出现具体的报错提示（检测到disksafe软件），符合开机失败分类特征。概率估计 ~90%
② 虚拟机-043 虚拟机内部软件使用异常
   判断依据：若虚拟机能进入系统但弹出软件冲突提示，或该提示源于系统内部安装的特定软件，则属于虚拟机内部软件使用异常。概率估计 ~10%
③ 以上都不是（请补充症状描述）
请回复 ① ② 或 ③ 完成确认。</t>
        </is>
      </c>
    </row>
    <row r="690">
      <c r="A690" t="inlineStr">
        <is>
          <t>Q2026010600047</t>
        </is>
      </c>
      <c r="B690" t="inlineStr">
        <is>
          <t>HCI</t>
        </is>
      </c>
      <c r="C690" t="inlineStr"/>
      <c r="D690" t="inlineStr">
        <is>
          <t>erp服务器重启之后起不来了</t>
        </is>
      </c>
      <c r="E690" t="inlineStr">
        <is>
          <t>虚拟机</t>
        </is>
      </c>
      <c r="F690" t="inlineStr">
        <is>
          <t>虚拟机开关机</t>
        </is>
      </c>
      <c r="G690" t="inlineStr">
        <is>
          <t>根据客户描述“erp服务器重启之后起不来了”，核心症状为虚拟机无法进入运行状态，可能属于以下故障分类：
① 虚拟机-003 虚拟机开机失败
   判断依据：描述中明确指出“起不来了”，直接对应虚拟机无法启动运行的状态，概率估计 ~75%
② 虚拟机-005 虚拟机重启失败
   判断依据：故障触发场景为“重启之后”，可能涉及重启任务流程中断或失败导致状态异常，概率估计 ~20%
③ 以上都不是（请补充症状描述）
请回复 ① ② 或 ③ 完成确认。</t>
        </is>
      </c>
    </row>
    <row r="691">
      <c r="A691" t="inlineStr">
        <is>
          <t>Q2026010502035</t>
        </is>
      </c>
      <c r="B691" t="inlineStr">
        <is>
          <t>HCI</t>
        </is>
      </c>
      <c r="C691" t="inlineStr">
        <is>
          <t>HCI6.10.0_R2</t>
        </is>
      </c>
      <c r="D691" t="inlineStr">
        <is>
          <t>断电关机重启后有3台redhat开机不了</t>
        </is>
      </c>
      <c r="E691" t="inlineStr">
        <is>
          <t>虚拟机</t>
        </is>
      </c>
      <c r="F691" t="inlineStr">
        <is>
          <t>虚拟机开关机</t>
        </is>
      </c>
      <c r="G691" t="inlineStr">
        <is>
          <t>根据您提供的故障现象“断电关机重启后有3台redhat开机不了”，这属于典型的虚拟机生命周期管理问题。
① 虚拟机-003 虚拟机开机失败
   判断依据：客户明确描述虚拟机在物理机断电重启后出现“开机不了”的现象，直接对应虚拟机启动操作失败，概率估计 ~95%
③ 以上都不是（请补充症状描述）
请回复 ① 或 ③ 完成确认。</t>
        </is>
      </c>
    </row>
    <row r="692">
      <c r="A692" t="inlineStr">
        <is>
          <t>Q2026010501770</t>
        </is>
      </c>
      <c r="B692" t="inlineStr">
        <is>
          <t>HCI</t>
        </is>
      </c>
      <c r="C692" t="inlineStr">
        <is>
          <t>6.3.0_R3</t>
        </is>
      </c>
      <c r="D692" t="inlineStr">
        <is>
          <t>【事故描述】虚拟机内部重启，需要帮忙排查下原因，反复重启
【客户态度和诉求】 需要尽快恢复业务，OA虚拟机</t>
        </is>
      </c>
      <c r="E692" t="inlineStr">
        <is>
          <t>虚拟机</t>
        </is>
      </c>
      <c r="F692" t="inlineStr">
        <is>
          <t>虚拟机开关机</t>
        </is>
      </c>
      <c r="G692" t="inlineStr">
        <is>
          <t>根据您提供的故障现象“虚拟机内部重启，反复重启”，这通常指向虚拟机操作系统层面的异常。系统崩溃（如蓝屏、内核恐慌）后往往会触发系统策略进行自动重启，从而形成反复重启的现象；或者可能是平台侧的高可用（HA）机制在感知虚拟机异常后反复尝试拉起。
请确认以下最可能的故障分类：
① 虚拟机-042 虚拟机内部蓝屏
   判断依据：客户描述“虚拟机内部重启”、“反复重启”，符合操作系统内核崩溃（Windows 蓝屏或 Linux Kernel Panic）后自动重启的典型特征，概率估计 ~80%
② 虚拟机-033 虚拟机异常HA
   判断依据：作为次要可能性，若虚拟机因底层故障或资源不足导致异常关闭，平台 HA 机制可能会反复尝试重启虚拟机以恢复业务，概率估计 ~15%
③ 以上都不是（请补充症状描述）
请回复 ① ② 或 ③ 完成确认。</t>
        </is>
      </c>
    </row>
    <row r="693">
      <c r="A693" t="inlineStr">
        <is>
          <t>Q2026010501492</t>
        </is>
      </c>
      <c r="B693" t="inlineStr">
        <is>
          <t>HCI</t>
        </is>
      </c>
      <c r="C693" t="inlineStr">
        <is>
          <t>6.10.0</t>
        </is>
      </c>
      <c r="D693" t="inlineStr">
        <is>
          <t>win11虚拟机开机卡在开机界面</t>
        </is>
      </c>
      <c r="E693" t="inlineStr">
        <is>
          <t>虚拟机</t>
        </is>
      </c>
      <c r="F693" t="inlineStr">
        <is>
          <t>虚拟机开关机</t>
        </is>
      </c>
      <c r="G693" t="inlineStr">
        <is>
          <t>根据您提供的「win11虚拟机开机卡在开机界面」描述，该问题属于虚拟机生命周期管理中的启动异常。由于尚未确认平台任务状态（是报错失败还是一直运行中），存在以下两种最可能的故障方向，请确认：
① 虚拟机-003 虚拟机开机失败
   判断依据：用户触发开机动作后，虚拟机未能正常进入系统，若后台任务显示失败或超时，则归属此类，概率估计 ~50%
② 虚拟机-039 虚拟机卡死无响应
   判断依据：描述中明确提到“卡在开机界面”，表明虚拟机进程可能存在但无响应（假死/真死），若平台显示运行中但无显示输出，则归属此类，概率估计 ~45%
③ 以上都不是（请补充症状描述）
请回复 ① ② 或 ③ 完成确认。</t>
        </is>
      </c>
    </row>
    <row r="694">
      <c r="A694" t="inlineStr">
        <is>
          <t>Q2026010500912</t>
        </is>
      </c>
      <c r="B694" t="inlineStr">
        <is>
          <t>HCI</t>
        </is>
      </c>
      <c r="C694" t="inlineStr"/>
      <c r="D694" t="inlineStr">
        <is>
          <t>HCI 的虚拟机重启以后网卡名称发生了改变，影响到核心业务 无法使用了，需要协助处理</t>
        </is>
      </c>
      <c r="E694" t="inlineStr">
        <is>
          <t>虚拟机</t>
        </is>
      </c>
      <c r="F694" t="inlineStr">
        <is>
          <t>虚拟机开关机</t>
        </is>
      </c>
      <c r="G694" t="inlineStr">
        <is>
          <t>根据您提供的故障现象「虚拟机重启后网卡名称改变导致业务不可用」，这是一个典型的虚拟机内部操作系统配置问题。虽然表象是业务不可用（网络故障），但根因在于Guest OS内部的网卡命名规则或配置文件未固化。
结合故障分类基准，建议确认如下：
① 虚拟机-049 虚拟机网络丢包或不通
   判断依据：客户明确描述“影响到核心业务 无法使用了”，直接体现了网络连通性故障或业务中断现象，概率估计 ~60%
② 虚拟机-043 虚拟机内部软件使用异常
   判断依据：核心原因是“网卡名称发生了改变”，属于虚拟机内部操作系统层面的配置异常（如Linux的udev规则或网卡配置文件问题），概率估计 ~35%
③ 以上都不是（请补充症状描述）
请回复 ① ② 或 ③ 完成确认。</t>
        </is>
      </c>
    </row>
    <row r="695">
      <c r="A695" t="inlineStr">
        <is>
          <t>Q2026010500834</t>
        </is>
      </c>
      <c r="B695" t="inlineStr">
        <is>
          <t>HCI</t>
        </is>
      </c>
      <c r="C695" t="inlineStr">
        <is>
          <t>6.11.1</t>
        </is>
      </c>
      <c r="D695" t="inlineStr">
        <is>
          <t>有一个虚拟机重启报错重启失败，内部关机超时，虚拟机进救援模式了</t>
        </is>
      </c>
      <c r="E695" t="inlineStr">
        <is>
          <t>虚拟机</t>
        </is>
      </c>
      <c r="F695" t="inlineStr">
        <is>
          <t>虚拟机开关机</t>
        </is>
      </c>
      <c r="G695" t="inlineStr">
        <is>
          <t>根据客户描述“虚拟机重启报错重启失败”及“内部关机超时”，故障现象明确指向重启任务执行失败。虽然伴随关机超时，但用户触发的操作为重启，且系统有明确的“重启失败”分类，故优先归类于此。
您的问题可能属于以下故障之一，请确认：
① 虚拟机-005 虚拟机重启失败
   判断依据：客户明确描述“虚拟机重启报错重启失败”，且提及“内部关机超时”导致任务未完成，符合重启任务失败的特征。概率估计 ~95%
② 虚拟机-004 虚拟机关机失败
   判断依据：报错详情中包含“内部关机超时”，表明底层原因是关机流程卡死导致后续重启无法执行。概率估计 ~40%
③ 以上都不是（请补充症状描述）
请回复 ① ② 或 ③ 完成确认。</t>
        </is>
      </c>
    </row>
    <row r="696">
      <c r="A696" t="inlineStr">
        <is>
          <t>Q2026010500557</t>
        </is>
      </c>
      <c r="B696" t="inlineStr">
        <is>
          <t>HCI</t>
        </is>
      </c>
      <c r="C696" t="inlineStr">
        <is>
          <t>HCI6.8.0_R2</t>
        </is>
      </c>
      <c r="D696" t="inlineStr">
        <is>
          <t>业务虚拟机异常无法开机，需要协助处理</t>
        </is>
      </c>
      <c r="E696" t="inlineStr">
        <is>
          <t>虚拟机</t>
        </is>
      </c>
      <c r="F696" t="inlineStr">
        <is>
          <t>虚拟机开关机</t>
        </is>
      </c>
      <c r="G696" t="inlineStr">
        <is>
          <t>根据客户描述“业务虚拟机异常无法开机”，该问题直接对应虚拟机生命周期管理中的启动操作故障，分类明确。
您的问题可能属于以下故障之一，请确认：
① 虚拟机-003 虚拟机开机失败
   判断依据：客户描述明确提及“业务虚拟机异常无法开机”，精准匹配开机失败场景，概率估计 ~95%
③ 以上都不是（请补充症状描述）
请回复 ① 或 ③ 完成确认。</t>
        </is>
      </c>
    </row>
    <row r="697">
      <c r="A697" t="inlineStr">
        <is>
          <t>Q2026010500290</t>
        </is>
      </c>
      <c r="B697" t="inlineStr">
        <is>
          <t>HCI</t>
        </is>
      </c>
      <c r="C697" t="inlineStr"/>
      <c r="D697" t="inlineStr">
        <is>
          <t>虚拟机周六重启后一直处于开机备份状态，需要如何处理。</t>
        </is>
      </c>
      <c r="E697" t="inlineStr">
        <is>
          <t>虚拟机</t>
        </is>
      </c>
      <c r="F697" t="inlineStr">
        <is>
          <t>虚拟机开关机</t>
        </is>
      </c>
      <c r="G697" t="inlineStr"/>
    </row>
    <row r="698">
      <c r="A698" t="inlineStr">
        <is>
          <t>Q2026010500135</t>
        </is>
      </c>
      <c r="B698" t="inlineStr">
        <is>
          <t>HCI</t>
        </is>
      </c>
      <c r="C698" t="inlineStr">
        <is>
          <t>6.8.0R2</t>
        </is>
      </c>
      <c r="D698" t="inlineStr">
        <is>
          <t>有台业务虚拟机被关机了，早上发现业务访问不正常，才发现被关机了，需排查虚拟机被关机的原因，避免后续再出现类似问题</t>
        </is>
      </c>
      <c r="E698" t="inlineStr">
        <is>
          <t>虚拟机</t>
        </is>
      </c>
      <c r="F698" t="inlineStr">
        <is>
          <t>虚拟机开关机</t>
        </is>
      </c>
      <c r="G698" t="inlineStr">
        <is>
          <t>根据客户描述“业务虚拟机被关机，需排查关机原因”，这属于对虚拟机状态异常的回溯排查。由于尚未确定是人为操作、系统故障还是高可用机制导致，问题首先定位在虚拟机生命周期管理层面。
您的问题可能属于以下故障之一，请确认：
① 虚拟机-L1 虚拟机
   判断依据：客户发现虚拟机处于关机状态，需要排查具体原因（如是否为人为误操作、计划任务、内部关机或平台异常），属于虚拟机生命周期状态异常的通用排查场景。概率估计 ~80%
② 虚拟机-032 虚拟机HA不达预期
   判断依据：若虚拟机因宿主机故障导致业务中断，且未成功迁移或重启，此时虚拟机可能处于关机状态，符合“业务访问不正常”的现象。概率估计 ~15%
③ 以上都不是（请补充症状描述）
请回复 ① ② 或 ③ 完成确认。</t>
        </is>
      </c>
    </row>
    <row r="699">
      <c r="A699" t="inlineStr">
        <is>
          <t>Q2026010401607</t>
        </is>
      </c>
      <c r="B699" t="inlineStr">
        <is>
          <t>HCI</t>
        </is>
      </c>
      <c r="C699" t="inlineStr">
        <is>
          <t>与版本无关</t>
        </is>
      </c>
      <c r="D699" t="inlineStr">
        <is>
          <t>虚拟机启动失败</t>
        </is>
      </c>
      <c r="E699" t="inlineStr">
        <is>
          <t>虚拟机</t>
        </is>
      </c>
      <c r="F699" t="inlineStr">
        <is>
          <t>虚拟机开关机</t>
        </is>
      </c>
      <c r="G699" t="inlineStr">
        <is>
          <t>根据您提供的核心描述“虚拟机启动失败”，该现象直接对应虚拟机生命周期管理中的开机操作异常。请确认具体的故障分类：
① 虚拟机-003 虚拟机开机失败
   判断依据：用户描述“虚拟机启动失败”与分类名称“虚拟机开机失败”语义完全一致，指代虚拟机无法从关闭状态转换为运行状态，概率估计 ~99%
③ 以上都不是（请补充症状描述）
请回复 ① 或 ③ 完成确认。</t>
        </is>
      </c>
    </row>
    <row r="700">
      <c r="A700" t="inlineStr">
        <is>
          <t>Q2026010401552</t>
        </is>
      </c>
      <c r="B700" t="inlineStr">
        <is>
          <t>HCI</t>
        </is>
      </c>
      <c r="C700" t="inlineStr">
        <is>
          <t>6.7.0_R2</t>
        </is>
      </c>
      <c r="D700" t="inlineStr">
        <is>
          <t>巡检测到虚拟机监控中心,Sangfor aMC 2.0.3 20200904中存在磁盘id为virtio格式，会导致虚拟机磁盘配置丢失，虚拟机重新启动时磁盘无法找到，影响业务</t>
        </is>
      </c>
      <c r="E700" t="inlineStr">
        <is>
          <t>虚拟机</t>
        </is>
      </c>
      <c r="F700" t="inlineStr">
        <is>
          <t>虚拟机开关机</t>
        </is>
      </c>
      <c r="G700" t="inlineStr"/>
    </row>
    <row r="701">
      <c r="A701" t="inlineStr">
        <is>
          <t>Q2026010401388</t>
        </is>
      </c>
      <c r="B701" t="inlineStr">
        <is>
          <t>HCI</t>
        </is>
      </c>
      <c r="C701" t="inlineStr">
        <is>
          <t>HCI5.8.6</t>
        </is>
      </c>
      <c r="D701" t="inlineStr">
        <is>
          <t>外置存储断电，两台虚拟机无法启动，需协助处理</t>
        </is>
      </c>
      <c r="E701" t="inlineStr">
        <is>
          <t>虚拟机</t>
        </is>
      </c>
      <c r="F701" t="inlineStr">
        <is>
          <t>虚拟机开关机</t>
        </is>
      </c>
      <c r="G701" t="inlineStr">
        <is>
          <t>根据您的描述“外置存储断电，两台虚拟机无法启动”，这是典型的因存储不可用导致的虚拟机生命周期故障。
请您确认故障分类：
① 虚拟机-003 虚拟机开机失败
   判断依据：用户明确描述“两台虚拟机无法启动”，故障现象直接指向虚拟机开机流程受阻，概率估计 ~95%
② 以上都不是（请补充症状描述）
请回复 ① 或 ② 完成确认。</t>
        </is>
      </c>
    </row>
    <row r="702">
      <c r="A702" t="inlineStr">
        <is>
          <t>Q2026010400923</t>
        </is>
      </c>
      <c r="B702" t="inlineStr">
        <is>
          <t>HCI</t>
        </is>
      </c>
      <c r="C702" t="inlineStr">
        <is>
          <t>HCI6.7.0_R2</t>
        </is>
      </c>
      <c r="D702" t="inlineStr">
        <is>
          <t>虚拟机开机报 镜像忙</t>
        </is>
      </c>
      <c r="E702" t="inlineStr">
        <is>
          <t>虚拟机</t>
        </is>
      </c>
      <c r="F702" t="inlineStr">
        <is>
          <t>虚拟机开关机</t>
        </is>
      </c>
      <c r="G702" t="inlineStr">
        <is>
          <t>根据您提供的故障现象“虚拟机开机报 镜像忙”，这属于典型的虚拟机生命周期管理问题，故障现象直接指向虚拟机无法正常启动。
您的问题可能属于以下故障之一，请确认：
① **虚拟机-003 虚拟机开机失败**
   判断依据：用户描述操作动作为“虚拟机开机”，且系统明确返回“镜像忙”错误提示，符合虚拟机启动失败故障特征，概率估计 ~95%
③ 以上都不是（请补充症状描述）
请回复 ① 或 ③ 完成确认。</t>
        </is>
      </c>
    </row>
    <row r="703">
      <c r="A703" t="inlineStr">
        <is>
          <t>Q2026010400852</t>
        </is>
      </c>
      <c r="B703" t="inlineStr">
        <is>
          <t>HCI</t>
        </is>
      </c>
      <c r="C703" t="inlineStr">
        <is>
          <t>6.11.1</t>
        </is>
      </c>
      <c r="D703" t="inlineStr">
        <is>
          <t>超融合挂载的华三外置存储，虚拟机开机失败，报错搜索不到镜像，有一台虚拟机配置没了，暂时没有影响业务，在部署业务中</t>
        </is>
      </c>
      <c r="E703" t="inlineStr">
        <is>
          <t>虚拟机</t>
        </is>
      </c>
      <c r="F703" t="inlineStr">
        <is>
          <t>虚拟机开关机</t>
        </is>
      </c>
      <c r="G703" t="inlineStr">
        <is>
          <t>根据您提供的故障现象，核心问题是虚拟机开机操作未成功，且报错直接指向存储镜像文件不可见。虽然根因可能涉及外置存储链路，但在HCI排障体系中，操作层面的失败属于虚拟机域。
您的问题可能属于以下故障分类，请确认：
① **虚拟机-003 虚拟机开机失败**
   判断依据：客户明确描述“虚拟机开机失败”，且伴随“报错搜索不到镜像”的具体错误信息，这直接对应虚拟机生命周期管理中的启动阶段故障，概率估计 ~95%
③ 以上都不是（请补充症状描述）
请回复 ① 或 ③ 完成确认。</t>
        </is>
      </c>
    </row>
    <row r="704">
      <c r="A704" t="inlineStr">
        <is>
          <t>Q2026010400833</t>
        </is>
      </c>
      <c r="B704" t="inlineStr">
        <is>
          <t>HCI</t>
        </is>
      </c>
      <c r="C704" t="inlineStr"/>
      <c r="D704" t="inlineStr">
        <is>
          <t>有个虚拟机一直反复重启</t>
        </is>
      </c>
      <c r="E704" t="inlineStr">
        <is>
          <t>虚拟机</t>
        </is>
      </c>
      <c r="F704" t="inlineStr">
        <is>
          <t>虚拟机开关机</t>
        </is>
      </c>
      <c r="G704" t="inlineStr">
        <is>
          <t>根据您的描述“虚拟机一直反复重启”，这是典型的业务不稳定现象，通常涉及平台保护机制或客户机操作系统内部异常。结合深信服HCI机制，该问题主要可能由以下原因导致，请确认：
① 虚拟机-033 虚拟机异常HA
   判断依据：虚拟机反复重启可能是平台检测到虚拟机卡死或心跳丢失，触发了HA（高可用）保护机制导致自动重启，概率估计 ~60%
② 虚拟机-042 虚拟机内部蓝屏
   判断依据：Windows虚拟机若存在系统文件损坏、驱动冲突或补丁异常，会进入“蓝屏-重启-蓝屏”的死循环，用户视角即为“一直反复重启”，概率估计 ~30%
③ 以上都不是（请补充症状描述）
请回复 ① ② 或 ③ 完成确认。</t>
        </is>
      </c>
    </row>
    <row r="705">
      <c r="A705" t="inlineStr">
        <is>
          <t>Q2026010400506</t>
        </is>
      </c>
      <c r="B705" t="inlineStr">
        <is>
          <t>HCI</t>
        </is>
      </c>
      <c r="C705" t="inlineStr">
        <is>
          <t>HCI6.11.1</t>
        </is>
      </c>
      <c r="D705" t="inlineStr">
        <is>
          <t>HCI 有一台linux虚拟机起不来</t>
        </is>
      </c>
      <c r="E705" t="inlineStr">
        <is>
          <t>虚拟机</t>
        </is>
      </c>
      <c r="F705" t="inlineStr">
        <is>
          <t>虚拟机开关机</t>
        </is>
      </c>
      <c r="G705" t="inlineStr">
        <is>
          <t>根据用户描述“HCI 有一台linux虚拟机起不来”，该症状直接对应虚拟机生命周期管理中的开机操作异常。
您的问题可能属于以下故障之一，请确认：
① 虚拟机-003 虚拟机开机失败
   判断依据：用户描述“虚拟机起不来”，直接对应虚拟机开机操作失败的典型场景，概率估计 ~95%
③ 以上都不是（请补充症状描述）
请回复 ① 或 ③ 完成确认。</t>
        </is>
      </c>
    </row>
    <row r="706">
      <c r="A706" t="inlineStr">
        <is>
          <t>Q2026010400305</t>
        </is>
      </c>
      <c r="B706" t="inlineStr">
        <is>
          <t>HCI</t>
        </is>
      </c>
      <c r="C706" t="inlineStr">
        <is>
          <t>6.10.0_R2</t>
        </is>
      </c>
      <c r="D706" t="inlineStr">
        <is>
          <t>linux无法重启成功，无法开机</t>
        </is>
      </c>
      <c r="E706" t="inlineStr">
        <is>
          <t>虚拟机</t>
        </is>
      </c>
      <c r="F706" t="inlineStr">
        <is>
          <t>虚拟机开关机</t>
        </is>
      </c>
      <c r="G706" t="inlineStr">
        <is>
          <t>根据您的描述“linux无法重启成功，无法开机”，问题核心指向虚拟机生命周期操作异常，您的问题可能属于以下故障之一，请确认：
① 虚拟机-003 虚拟机开机失败
   判断依据：用户描述“无法开机”，直接对应虚拟机开机阶段的故障，概率估计 ~60%
② 虚拟机-005 虚拟机重启失败
   判断依据：用户描述“linux无法重启成功”，对应虚拟机重启操作失败的故障，概率估计 ~35%
③ 以上都不是（请补充症状描述）
请回复 ① ② 或 ③ 完成确认。</t>
        </is>
      </c>
    </row>
    <row r="707">
      <c r="A707" t="inlineStr">
        <is>
          <t>Q2026010400136</t>
        </is>
      </c>
      <c r="B707" t="inlineStr">
        <is>
          <t>HCI</t>
        </is>
      </c>
      <c r="C707" t="inlineStr">
        <is>
          <t>6.10.0R2</t>
        </is>
      </c>
      <c r="D707" t="inlineStr">
        <is>
          <t>虚拟机开机进入救援模式，需要协助处理</t>
        </is>
      </c>
      <c r="E707" t="inlineStr">
        <is>
          <t>虚拟机</t>
        </is>
      </c>
      <c r="F707" t="inlineStr">
        <is>
          <t>虚拟机开关机</t>
        </is>
      </c>
      <c r="G707" t="inlineStr">
        <is>
          <t>根据您提供的故障现象「虚拟机开机进入救援模式」，这通常意味着虚拟机电源已启动，但操作系统在引导过程中遭遇文件系统错误或配置加载失败。
经过全量分析，您的问题可能属于以下故障之一，请确认：
① 虚拟机-044 虚拟机内部空间或文件系统异常
   判断依据：虚拟机进入“救援模式”是 Linux 系统典型的故障特征，通常由文件系统损坏、磁盘满或关键配置文件（如 /etc/fstab）加载错误导致，属于虚拟机内部系统问题。概率估计 ~80%
② 虚拟机-003 虚拟机开机失败
   判断依据：用户描述侧重于“开机”动作结果异常，若从广义的“未能正常启动业务”角度理解，可能被归类为开机失败类故障。概率估计 ~15%
③ 以上都不是（请补充症状描述）
请回复 ① ② 或 ③ 完成确认。</t>
        </is>
      </c>
    </row>
    <row r="708">
      <c r="A708" t="inlineStr">
        <is>
          <t>Q2026010300164</t>
        </is>
      </c>
      <c r="B708" t="inlineStr">
        <is>
          <t>HCI</t>
        </is>
      </c>
      <c r="C708" t="inlineStr">
        <is>
          <t>HCI6.11.1</t>
        </is>
      </c>
      <c r="D708">
        <f>===海外工单信息====
    海外工单ID：20260103860005
    事件等级：Priority2
    产品线：HCI::6.11.1
====客户信息====
    客户ID：37768
    客户MDM ID：eeb5b82c80228e55d147f0716c5eae42
    客户名称：SANTA CLARA COMPANY LIMITED【Vietnam】
    客户区域：Vietnam
    客户类型：
====工单信息====
设备部署模式：4主机环境，6.11.1
客户背景： 香港 - Simway
问题现象：3台虚拟机挂起
排查过程：
1） 发现3台主机CPU 使用率100%
2） .87 .89 主机磁盘原本计划星期一替换，今天渠道反馈.88主机有异常，只读状态
下一步：
1）优先恢复虚拟机
2）检查主机100%CPU 使用率
重要备注：
是否已开群（企微）：是
企微群名：谢攀【香港/Simway】- 集群多台主机显示100%CPU使用率</f>
        <v/>
      </c>
      <c r="E708" t="inlineStr">
        <is>
          <t>虚拟机</t>
        </is>
      </c>
      <c r="F708" t="inlineStr">
        <is>
          <t>虚拟机开关机</t>
        </is>
      </c>
      <c r="G708" t="inlineStr">
        <is>
          <t>根据 [客户描述为空且无日志信息]，无法提取有效特征进行故障分类，请确认：
① 以上都不是（请补充症状描述）
请回复 ① 完成确认，并提供详细的故障现象或告警日志。</t>
        </is>
      </c>
    </row>
    <row r="709">
      <c r="A709" t="inlineStr">
        <is>
          <t>Q2026010300095</t>
        </is>
      </c>
      <c r="B709" t="inlineStr">
        <is>
          <t>HCI</t>
        </is>
      </c>
      <c r="C709" t="inlineStr">
        <is>
          <t>6.0.0R5</t>
        </is>
      </c>
      <c r="D709" t="inlineStr">
        <is>
          <t>虚拟机无法开机，显示正在修复</t>
        </is>
      </c>
      <c r="E709" t="inlineStr">
        <is>
          <t>虚拟机</t>
        </is>
      </c>
      <c r="F709" t="inlineStr">
        <is>
          <t>虚拟机开关机</t>
        </is>
      </c>
      <c r="G709" t="inlineStr">
        <is>
          <t>根据您的描述“虚拟机无法开机，显示正在修复”，这通常属于虚拟机开机流程受阻或状态异常。
**分析过程**：
1.  **核心症状识别**：关键词为“无法开机”，这是最直接的业务中断现象，符合**虚拟机-003**分类定义。
2.  **状态解读**：“显示正在修复”在深信服HCI平台中通常指代两种情况：
    *   平台层面：虚拟机处于“修复中”状态（如磁盘一致性检查、快照合并等），此时平台锁定虚拟机资源，导致开机操作被拒绝或排队，属于开机失败的一种具体表现。
    *   系统层面：虚拟机内部操作系统（如Windows）进入启动修复界面，但在排障分类中，若用户主诉为“无法开机”，优先归入开机失败类进行平台侧诊断。
**结论**：问题定位于虚拟机开机失败场景。
根据 [核心症状为“无法开机”]，您的问题可能属于以下故障之一，请确认：
① 虚拟机-003 虚拟机开机失败
   判断依据：用户描述“无法开机”，符合开机失败定义。状态“正在修复”通常意味着平台正在进行磁盘一致性检查或快照合并导致开机阻塞，或虚拟机内部OS损坏导致无法正常启动，概率估计 ~90%
③ 以上都不是（请补充症状描述）
请回复 ① 或 ③ 完成确认。</t>
        </is>
      </c>
    </row>
    <row r="710">
      <c r="A710" t="inlineStr">
        <is>
          <t>Q2026010300063</t>
        </is>
      </c>
      <c r="B710" t="inlineStr">
        <is>
          <t>HCI</t>
        </is>
      </c>
      <c r="C710" t="inlineStr">
        <is>
          <t>HCI6.10.0</t>
        </is>
      </c>
      <c r="D710" t="inlineStr">
        <is>
          <t>有个虚拟机卡在启动界面</t>
        </is>
      </c>
      <c r="E710" t="inlineStr">
        <is>
          <t>虚拟机</t>
        </is>
      </c>
      <c r="F710" t="inlineStr">
        <is>
          <t>虚拟机开关机</t>
        </is>
      </c>
      <c r="G710" t="inlineStr">
        <is>
          <t>根据您提供的「虚拟机卡在启动界面」描述，这通常意味着虚拟机进程已启动但客户机操作系统未能正常加载，或处于假死状态。请确认以下最可能的故障分类：
① 虚拟机-039 虚拟机卡死无响应
   判断依据：用户描述“卡在启动界面”，表明虚拟机处于无法继续启动的挂起或死机状态，概率估计 ~70%
② 虚拟机-003 虚拟机开机失败
   判断依据：部分开机失败任务如果未及时返回错误，用户界面也可能表现为长时间卡在启动中，概率估计 ~25%
③ 以上都不是（请补充症状描述）
请回复 ① ② 或 ③ 完成确认。</t>
        </is>
      </c>
    </row>
    <row r="711">
      <c r="A711" t="inlineStr">
        <is>
          <t>Q2026010100163</t>
        </is>
      </c>
      <c r="B711" t="inlineStr">
        <is>
          <t>HCI</t>
        </is>
      </c>
      <c r="C711" t="inlineStr">
        <is>
          <t>6.11.1_R1</t>
        </is>
      </c>
      <c r="D711" t="inlineStr">
        <is>
          <t>客户反馈有台虚拟机卡死了，HCI侧无法重启电源，提示当前有任务在执行，需要查一下卡死的原因</t>
        </is>
      </c>
      <c r="E711" t="inlineStr">
        <is>
          <t>虚拟机</t>
        </is>
      </c>
      <c r="F711" t="inlineStr">
        <is>
          <t>虚拟机开关机</t>
        </is>
      </c>
      <c r="G711" t="inlineStr">
        <is>
          <t>根据客户描述中明确提到的“虚拟机卡死了”以及“无法重启电源”，故障现象同时指向虚拟机运行状态异常和电源操作失败。
根据 [客户描述关键词：“虚拟机卡死了”、“无法重启电源”]，您的问题可能属于以下故障之一，请确认：
① 虚拟机-039 虚拟机卡死无响应
   判断依据：客户明确描述“虚拟机卡死了”，且无法执行电源操作，符合虚拟机假死或无响应的典型特征，概率估计 ~60%
② 虚拟机-005 虚拟机重启失败
   判断依据：客户尝试在 HCI 侧执行“重启电源”操作失败，提示任务冲突，符合电源操作类故障特征，概率估计 ~35%
③ 以上都不是（请补充症状描述）
请回复 ① ② 或 ③ 完成确认。</t>
        </is>
      </c>
    </row>
    <row r="712">
      <c r="A712" t="inlineStr">
        <is>
          <t>Q2026010100051</t>
        </is>
      </c>
      <c r="B712" t="inlineStr">
        <is>
          <t>HCI</t>
        </is>
      </c>
      <c r="C712" t="inlineStr">
        <is>
          <t>6.10.0_R2</t>
        </is>
      </c>
      <c r="D712" t="inlineStr">
        <is>
          <t>虚拟机开机失败，提示磁盘繁忙</t>
        </is>
      </c>
      <c r="E712" t="inlineStr">
        <is>
          <t>虚拟机</t>
        </is>
      </c>
      <c r="F712" t="inlineStr">
        <is>
          <t>虚拟机开关机</t>
        </is>
      </c>
      <c r="G712" t="inlineStr">
        <is>
          <t>根据客户描述“虚拟机开机失败”及关键错误信息“提示磁盘繁忙”，故障现象明确指向虚拟机生命周期管理中的启动环节。
您的问题可能属于以下故障分类，请确认：
① **虚拟机-003 虚拟机开机失败**
   判断依据：客户明确描述“虚拟机开机失败”，且报错“磁盘繁忙”是开机流程中存储资源访问受阻的典型错误提示，直接对应虚拟机启动失败场景。概率估计 ~95%
③ 以上都不是（请补充症状描述）
请回复 ① 或 ③ 完成确认。</t>
        </is>
      </c>
    </row>
    <row r="713">
      <c r="A713" t="inlineStr">
        <is>
          <t>Q2026010100048</t>
        </is>
      </c>
      <c r="B713" t="inlineStr">
        <is>
          <t>HCI</t>
        </is>
      </c>
      <c r="C713" t="inlineStr">
        <is>
          <t>6.8.0</t>
        </is>
      </c>
      <c r="D713" t="inlineStr">
        <is>
          <t>核心业务无法开机</t>
        </is>
      </c>
      <c r="E713" t="inlineStr">
        <is>
          <t>虚拟机</t>
        </is>
      </c>
      <c r="F713" t="inlineStr">
        <is>
          <t>虚拟机开关机</t>
        </is>
      </c>
      <c r="G713" t="inlineStr">
        <is>
          <t>根据客户描述“核心业务无法开机”，该症状直接对应虚拟机生命周期管理中的启动操作失败，判断明确。
请确认以下分类：
① 虚拟机-003 虚拟机开机失败
   判断依据：客户明确描述“核心业务无法开机”，直接对应虚拟机生命周期中“开机”动作失败的标准场景，概率估计 ~95%
③ 以上都不是（请补充症状描述）
请回复 ① 或 ③ 完成确认。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2026-05-19T13:49:22Z</dcterms:created>
  <dcterms:modified xmlns:dcterms="http://purl.org/dc/terms/" xmlns:xsi="http://www.w3.org/2001/XMLSchema-instance" xsi:type="dcterms:W3CDTF">2026-05-19T13:49:22Z</dcterms:modified>
</cp:coreProperties>
</file>